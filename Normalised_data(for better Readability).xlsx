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4aeb2330387e070b/Documents/"/>
    </mc:Choice>
  </mc:AlternateContent>
  <xr:revisionPtr revIDLastSave="0" documentId="8_{08A2BFBE-CCF5-4CB2-89C6-4567490A090D}" xr6:coauthVersionLast="47" xr6:coauthVersionMax="47" xr10:uidLastSave="{00000000-0000-0000-0000-000000000000}"/>
  <bookViews>
    <workbookView xWindow="-108" yWindow="-108" windowWidth="23256" windowHeight="12456" xr2:uid="{998F98DF-51AF-4C93-9729-D8E7547F50FB}"/>
  </bookViews>
  <sheets>
    <sheet name="Patients" sheetId="1" r:id="rId1"/>
    <sheet name="Patient_habits" sheetId="3" r:id="rId2"/>
    <sheet name="Disease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8" i="3" l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<sst xmlns="http://schemas.openxmlformats.org/spreadsheetml/2006/main" count="1179" uniqueCount="155">
  <si>
    <t>ID</t>
  </si>
  <si>
    <t>Full Name</t>
  </si>
  <si>
    <t>Age</t>
  </si>
  <si>
    <t>Gender</t>
  </si>
  <si>
    <t>Region</t>
  </si>
  <si>
    <t>Work Type</t>
  </si>
  <si>
    <t>Ever Married</t>
  </si>
  <si>
    <t>Residence Type</t>
  </si>
  <si>
    <t>Education Level</t>
  </si>
  <si>
    <t>Income Level</t>
  </si>
  <si>
    <t>Age Segment</t>
  </si>
  <si>
    <t>A. Roy</t>
  </si>
  <si>
    <t>Female</t>
  </si>
  <si>
    <t>South</t>
  </si>
  <si>
    <t>Private</t>
  </si>
  <si>
    <t>Rural</t>
  </si>
  <si>
    <t>Tertiary</t>
  </si>
  <si>
    <t>Middle</t>
  </si>
  <si>
    <t>A. Shenoy</t>
  </si>
  <si>
    <t>East</t>
  </si>
  <si>
    <t>Secondary</t>
  </si>
  <si>
    <t>High</t>
  </si>
  <si>
    <t>S. Geloy</t>
  </si>
  <si>
    <t>Male</t>
  </si>
  <si>
    <t>North</t>
  </si>
  <si>
    <t>Urban</t>
  </si>
  <si>
    <t>G. Messy</t>
  </si>
  <si>
    <t>Never Worked</t>
  </si>
  <si>
    <t>B. Bern</t>
  </si>
  <si>
    <t>West</t>
  </si>
  <si>
    <t>Government</t>
  </si>
  <si>
    <t>S. Bush</t>
  </si>
  <si>
    <t>No education</t>
  </si>
  <si>
    <t>Low</t>
  </si>
  <si>
    <t>W. Bern</t>
  </si>
  <si>
    <t>Children</t>
  </si>
  <si>
    <t>N. Jordan</t>
  </si>
  <si>
    <t>Primary</t>
  </si>
  <si>
    <t>M. Jordan</t>
  </si>
  <si>
    <t>A. Sundar</t>
  </si>
  <si>
    <t>L. Armstrong</t>
  </si>
  <si>
    <t>M. Fritzler</t>
  </si>
  <si>
    <t>K. Black</t>
  </si>
  <si>
    <t>Self-employed</t>
  </si>
  <si>
    <t>J. Bell-</t>
  </si>
  <si>
    <t>D. Eno</t>
  </si>
  <si>
    <t>D. percer</t>
  </si>
  <si>
    <t>R. Collins</t>
  </si>
  <si>
    <t>W. Brown</t>
  </si>
  <si>
    <t>B. Eplett</t>
  </si>
  <si>
    <t>E. Hoffmann</t>
  </si>
  <si>
    <t>C. Clark</t>
  </si>
  <si>
    <t>D. Lloyd</t>
  </si>
  <si>
    <t>T. Dahlen</t>
  </si>
  <si>
    <t>P. Gonzalez</t>
  </si>
  <si>
    <t>F. Preis</t>
  </si>
  <si>
    <t>B. Talbott</t>
  </si>
  <si>
    <t>T. Braunhardt</t>
  </si>
  <si>
    <t>C. Brittain</t>
  </si>
  <si>
    <t>C. Bergmann</t>
  </si>
  <si>
    <t>H. Goldwyn</t>
  </si>
  <si>
    <t>Other</t>
  </si>
  <si>
    <t>T. Boyes</t>
  </si>
  <si>
    <t>J. Doherty</t>
  </si>
  <si>
    <t>J. Farry</t>
  </si>
  <si>
    <t>S. Cartwright</t>
  </si>
  <si>
    <t>T. Brockman</t>
  </si>
  <si>
    <t>H. Engle</t>
  </si>
  <si>
    <t>D. Flashing</t>
  </si>
  <si>
    <t>S. A</t>
  </si>
  <si>
    <t>A. Bixby</t>
  </si>
  <si>
    <t>J. Klamczynski</t>
  </si>
  <si>
    <t>B. Ferrer</t>
  </si>
  <si>
    <t>C. Kinney</t>
  </si>
  <si>
    <t>S. McNair</t>
  </si>
  <si>
    <t>A. Barton</t>
  </si>
  <si>
    <t>S. Engle</t>
  </si>
  <si>
    <t>N. Staavos</t>
  </si>
  <si>
    <t>L. Carlisle</t>
  </si>
  <si>
    <t>T. Blumstein</t>
  </si>
  <si>
    <t>M. Schnelling</t>
  </si>
  <si>
    <t>J. Braxton</t>
  </si>
  <si>
    <t>P. Prost</t>
  </si>
  <si>
    <t>A. Zypern</t>
  </si>
  <si>
    <t>K. Bern</t>
  </si>
  <si>
    <t>C. Anderson</t>
  </si>
  <si>
    <t>B. Elias</t>
  </si>
  <si>
    <t>C. Hwang</t>
  </si>
  <si>
    <t>M. Haberlin</t>
  </si>
  <si>
    <t>J. Ritter</t>
  </si>
  <si>
    <t>P. Breyer</t>
  </si>
  <si>
    <t>J. Stevenson</t>
  </si>
  <si>
    <t>R. DeVincentis</t>
  </si>
  <si>
    <t>D. Kipp</t>
  </si>
  <si>
    <t>F. McMath</t>
  </si>
  <si>
    <t>P. Gardner</t>
  </si>
  <si>
    <t>E. Ashbrook</t>
  </si>
  <si>
    <t>J. Dryer</t>
  </si>
  <si>
    <t>G. Weimer</t>
  </si>
  <si>
    <t>J. Fjeld</t>
  </si>
  <si>
    <t>G. Tran</t>
  </si>
  <si>
    <t>A. Hwang</t>
  </si>
  <si>
    <t>M. Clasen</t>
  </si>
  <si>
    <t>B. Venier</t>
  </si>
  <si>
    <t>L. Castell</t>
  </si>
  <si>
    <t>P. Hugh</t>
  </si>
  <si>
    <t>T. Zic</t>
  </si>
  <si>
    <t>A. Crouse</t>
  </si>
  <si>
    <t>B. Degenhardt</t>
  </si>
  <si>
    <t>D. Lawera</t>
  </si>
  <si>
    <t>E. Barreto</t>
  </si>
  <si>
    <t>D. Weiss</t>
  </si>
  <si>
    <t>L. Cacioppo</t>
  </si>
  <si>
    <t>R. Reed</t>
  </si>
  <si>
    <t>K. Daniels</t>
  </si>
  <si>
    <t>O. Nelson</t>
  </si>
  <si>
    <t>B. Hoffman</t>
  </si>
  <si>
    <t>J. Gross</t>
  </si>
  <si>
    <t>C. Carreira</t>
  </si>
  <si>
    <t>C. Cortes</t>
  </si>
  <si>
    <t>T. Swint</t>
  </si>
  <si>
    <t>A. Avila</t>
  </si>
  <si>
    <t>M. Granlund</t>
  </si>
  <si>
    <t>R. Ferguson</t>
  </si>
  <si>
    <t>R. Duston</t>
  </si>
  <si>
    <t>E. McCrary</t>
  </si>
  <si>
    <t>R. Williams</t>
  </si>
  <si>
    <t>J. Barnett</t>
  </si>
  <si>
    <t>Hypertension</t>
  </si>
  <si>
    <t>Heart Disease</t>
  </si>
  <si>
    <t>Average Glucose Level</t>
  </si>
  <si>
    <t>Average Glucose Level2</t>
  </si>
  <si>
    <t>BMI</t>
  </si>
  <si>
    <t>Stroke Risk Score</t>
  </si>
  <si>
    <t>Smoking Status</t>
  </si>
  <si>
    <t>Physical Activity</t>
  </si>
  <si>
    <t>Dietary Habits</t>
  </si>
  <si>
    <t>Alcohol Consumption</t>
  </si>
  <si>
    <t>Chronic Stress</t>
  </si>
  <si>
    <t>Sleep Hours</t>
  </si>
  <si>
    <t>Family History of Stroke</t>
  </si>
  <si>
    <t>Stroke Occurrence</t>
  </si>
  <si>
    <t>Formerly smoked</t>
  </si>
  <si>
    <t>Sedentary</t>
  </si>
  <si>
    <t>Non-Vegetarian</t>
  </si>
  <si>
    <t>No</t>
  </si>
  <si>
    <t>Never smoked</t>
  </si>
  <si>
    <t>Light</t>
  </si>
  <si>
    <t>Vegetarian</t>
  </si>
  <si>
    <t>Mixed</t>
  </si>
  <si>
    <t>Yes</t>
  </si>
  <si>
    <t>Active</t>
  </si>
  <si>
    <t>Unknown</t>
  </si>
  <si>
    <t>Moderate</t>
  </si>
  <si>
    <t>Smokes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</si>
</sst>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theme="3"/>
      <name val="Aptos Narrow"/>
      <family val="2"/>
      <scheme val="minor"/>
    </font>
    <font>
      <b/>
      <sz val="16"/>
      <color theme="3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2" borderId="3" xfId="0" applyFont="1" applyFill="1" applyBorder="1"/>
  </cellXfs>
  <cellStyles count="1">
    <cellStyle name="Normal" xfId="0" builtinId="0"/>
  </cellStyles>
  <dxfs count="39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3"/>
        <name val="Aptos Narrow"/>
        <family val="2"/>
        <scheme val="minor"/>
      </font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3"/>
        <name val="Aptos Narrow"/>
        <family val="2"/>
        <scheme val="minor"/>
      </font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3"/>
        <name val="Aptos Narrow"/>
        <family val="2"/>
        <scheme val="minor"/>
      </font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B81968-C5EE-464C-8D24-8A0507728CE1}" name="Patients" displayName="Patients" ref="A1:K97" totalsRowShown="0" headerRowDxfId="38" headerRowBorderDxfId="36" tableBorderDxfId="37" totalsRowBorderDxfId="35">
  <autoFilter ref="A1:K97" xr:uid="{9B50466B-5620-4ADF-9BB2-302280D98440}"/>
  <tableColumns count="11">
    <tableColumn id="1" xr3:uid="{99E1BB29-9AB5-47CF-BD05-BEB88B8683AF}" name="ID" dataDxfId="34"/>
    <tableColumn id="2" xr3:uid="{55D467B1-438B-44E3-82BC-34100E4552B9}" name="Full Name" dataDxfId="33"/>
    <tableColumn id="3" xr3:uid="{5F8DCEF5-865D-4B79-AF0C-1D6EC065F7B1}" name="Age" dataDxfId="32"/>
    <tableColumn id="4" xr3:uid="{B7BA1D86-15E3-4937-BA13-D294679399FD}" name="Gender" dataDxfId="31"/>
    <tableColumn id="5" xr3:uid="{E62422BB-E5D1-4735-B8C4-5919EE18B188}" name="Region" dataDxfId="30"/>
    <tableColumn id="6" xr3:uid="{D7DE601E-9F02-4931-81E9-888A7B85A919}" name="Work Type" dataDxfId="29"/>
    <tableColumn id="7" xr3:uid="{009DBD4B-5F7F-4CA6-9575-C22CAE82D057}" name="Ever Married" dataDxfId="28"/>
    <tableColumn id="8" xr3:uid="{46049FBE-01EA-48AB-AC21-852CBC5F5DCE}" name="Residence Type" dataDxfId="27"/>
    <tableColumn id="9" xr3:uid="{A9D7E77F-E642-43AF-8EAA-2AA9F38F68A7}" name="Education Level" dataDxfId="26"/>
    <tableColumn id="10" xr3:uid="{0BABEDB2-1152-4FE7-A83F-18BB3BA14120}" name="Income Level" dataDxfId="25"/>
    <tableColumn id="11" xr3:uid="{19455A31-2932-42D4-8BD1-F1339FB05B6C}" name="Age Segment" dataDxfId="24">
      <calculatedColumnFormula>IF(Patients[[#This Row],[Age]]&lt;=30,"Young",IF(Patients[[#This Row],[Age]]&lt;60,"Middle","Senior"))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E96FA22-429E-4B12-A3F1-E5AFD5B16E55}" name="Patients_habits" displayName="Patients_habits" ref="A1:I97" totalsRowShown="0" headerRowDxfId="12" headerRowBorderDxfId="10" tableBorderDxfId="11" totalsRowBorderDxfId="9">
  <autoFilter ref="A1:I97" xr:uid="{3A372924-5235-4568-AD5B-A5A64E185148}"/>
  <tableColumns count="9">
    <tableColumn id="1" xr3:uid="{BB57A247-7A9B-4C41-81E3-206CDFB88A08}" name="ID" dataDxfId="8"/>
    <tableColumn id="2" xr3:uid="{66F442D0-23D0-4B53-B7D6-C99E651EE647}" name="Smoking Status" dataDxfId="7"/>
    <tableColumn id="3" xr3:uid="{BDF6EAAC-3627-49DD-B159-6F2251293441}" name="Physical Activity" dataDxfId="6"/>
    <tableColumn id="4" xr3:uid="{C01BEC02-81F9-4FDD-8ADE-13FFC8252BFC}" name="Dietary Habits" dataDxfId="5"/>
    <tableColumn id="5" xr3:uid="{9EEFAE83-601C-4CB5-8888-D44D59316A14}" name="Alcohol Consumption" dataDxfId="4"/>
    <tableColumn id="6" xr3:uid="{4BEE16BA-D389-469D-B91C-CCBA42038B34}" name="Chronic Stress" dataDxfId="3"/>
    <tableColumn id="7" xr3:uid="{1570FE3B-20C9-40A0-8EDD-7983FC405329}" name="Sleep Hours" dataDxfId="2"/>
    <tableColumn id="8" xr3:uid="{64134C0C-84CC-4A00-AAC3-BA8D25D492BD}" name="Family History of Stroke" dataDxfId="1"/>
    <tableColumn id="9" xr3:uid="{9C6BDD84-22F0-4B41-8132-4E68845811FA}" name="Stroke Occurrence" data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0A88068-79F2-485A-ABE8-0651EBCA4BAE}" name="Diseases" displayName="Diseases" ref="A1:G97" totalsRowShown="0" headerRowDxfId="23" headerRowBorderDxfId="21" tableBorderDxfId="22" totalsRowBorderDxfId="20">
  <autoFilter ref="A1:G97" xr:uid="{DBFC14DC-DE24-470D-B466-0F3515544378}"/>
  <tableColumns count="7">
    <tableColumn id="1" xr3:uid="{3C036C7E-7865-410C-91A4-4430341347EC}" name="ID" dataDxfId="19"/>
    <tableColumn id="2" xr3:uid="{408994A6-D2A2-42EA-8A55-3A25057E0923}" name="Hypertension" dataDxfId="18"/>
    <tableColumn id="3" xr3:uid="{C7E7E594-621F-4424-93CE-A34670BC2576}" name="Heart Disease" dataDxfId="17"/>
    <tableColumn id="4" xr3:uid="{C42D451B-49FE-4150-812B-FBA7001DC573}" name="Average Glucose Level" dataDxfId="16"/>
    <tableColumn id="5" xr3:uid="{BD914BB7-FD4A-498E-867F-A57B150FB45E}" name="Average Glucose Level2" dataDxfId="15"/>
    <tableColumn id="6" xr3:uid="{2C68CCA0-C733-47EF-B08A-9877258C5B66}" name="BMI" dataDxfId="14"/>
    <tableColumn id="7" xr3:uid="{2809A429-C86C-4520-8E5A-8B1F91D50EE8}" name="Stroke Risk Score" dataDxfId="1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77787-FB76-474D-935E-F2307D1864D6}">
  <dimension ref="A1:K97"/>
  <sheetViews>
    <sheetView tabSelected="1" workbookViewId="0">
      <selection activeCell="K2" sqref="K2"/>
    </sheetView>
  </sheetViews>
  <sheetFormatPr defaultRowHeight="14.4" x14ac:dyDescent="0.3"/>
  <cols>
    <col min="1" max="1" width="5.21875" customWidth="1"/>
    <col min="2" max="2" width="13.5546875" customWidth="1"/>
    <col min="3" max="3" width="7.44140625" customWidth="1"/>
    <col min="4" max="4" width="12" customWidth="1"/>
    <col min="5" max="5" width="11.33203125" customWidth="1"/>
    <col min="6" max="6" width="15.77734375" customWidth="1"/>
    <col min="7" max="7" width="18.44140625" customWidth="1"/>
    <col min="8" max="8" width="22.21875" customWidth="1"/>
    <col min="9" max="9" width="22.44140625" customWidth="1"/>
    <col min="10" max="10" width="19.33203125" customWidth="1"/>
    <col min="11" max="11" width="19.109375" customWidth="1"/>
  </cols>
  <sheetData>
    <row r="1" spans="1:11" ht="21" x14ac:dyDescent="0.4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</row>
    <row r="2" spans="1:11" x14ac:dyDescent="0.3">
      <c r="A2" s="5">
        <v>1</v>
      </c>
      <c r="B2" s="6" t="s">
        <v>11</v>
      </c>
      <c r="C2" s="6">
        <v>78</v>
      </c>
      <c r="D2" s="6" t="s">
        <v>12</v>
      </c>
      <c r="E2" s="6" t="s">
        <v>13</v>
      </c>
      <c r="F2" s="6" t="s">
        <v>14</v>
      </c>
      <c r="G2" s="6">
        <v>1</v>
      </c>
      <c r="H2" s="6" t="s">
        <v>15</v>
      </c>
      <c r="I2" s="6" t="s">
        <v>16</v>
      </c>
      <c r="J2" s="6" t="s">
        <v>17</v>
      </c>
      <c r="K2" s="7" t="str">
        <f>IF(Patients[[#This Row],[Age]]&lt;=30,"Young",IF(Patients[[#This Row],[Age]]&lt;60,"Middle","Senior"))</f>
        <v>Senior</v>
      </c>
    </row>
    <row r="3" spans="1:11" x14ac:dyDescent="0.3">
      <c r="A3" s="5">
        <v>2</v>
      </c>
      <c r="B3" s="6" t="s">
        <v>18</v>
      </c>
      <c r="C3" s="6">
        <v>60</v>
      </c>
      <c r="D3" s="6" t="s">
        <v>12</v>
      </c>
      <c r="E3" s="6" t="s">
        <v>19</v>
      </c>
      <c r="F3" s="6" t="s">
        <v>14</v>
      </c>
      <c r="G3" s="6">
        <v>0</v>
      </c>
      <c r="H3" s="6" t="s">
        <v>15</v>
      </c>
      <c r="I3" s="6" t="s">
        <v>20</v>
      </c>
      <c r="J3" s="6" t="s">
        <v>21</v>
      </c>
      <c r="K3" s="7" t="str">
        <f>IF(Patients[[#This Row],[Age]]&lt;=30,"Young",IF(Patients[[#This Row],[Age]]&lt;60,"Middle","Senior"))</f>
        <v>Senior</v>
      </c>
    </row>
    <row r="4" spans="1:11" x14ac:dyDescent="0.3">
      <c r="A4" s="5">
        <v>3</v>
      </c>
      <c r="B4" s="6" t="s">
        <v>22</v>
      </c>
      <c r="C4" s="6">
        <v>69</v>
      </c>
      <c r="D4" s="6" t="s">
        <v>23</v>
      </c>
      <c r="E4" s="6" t="s">
        <v>24</v>
      </c>
      <c r="F4" s="6" t="s">
        <v>14</v>
      </c>
      <c r="G4" s="6">
        <v>0</v>
      </c>
      <c r="H4" s="6" t="s">
        <v>25</v>
      </c>
      <c r="I4" s="6" t="s">
        <v>20</v>
      </c>
      <c r="J4" s="6" t="s">
        <v>21</v>
      </c>
      <c r="K4" s="7" t="str">
        <f>IF(Patients[[#This Row],[Age]]&lt;=30,"Young",IF(Patients[[#This Row],[Age]]&lt;60,"Middle","Senior"))</f>
        <v>Senior</v>
      </c>
    </row>
    <row r="5" spans="1:11" x14ac:dyDescent="0.3">
      <c r="A5" s="5">
        <v>4</v>
      </c>
      <c r="B5" s="6" t="s">
        <v>26</v>
      </c>
      <c r="C5" s="6">
        <v>43</v>
      </c>
      <c r="D5" s="6" t="s">
        <v>23</v>
      </c>
      <c r="E5" s="6" t="s">
        <v>13</v>
      </c>
      <c r="F5" s="6" t="s">
        <v>27</v>
      </c>
      <c r="G5" s="6">
        <v>1</v>
      </c>
      <c r="H5" s="6" t="s">
        <v>25</v>
      </c>
      <c r="I5" s="6" t="s">
        <v>16</v>
      </c>
      <c r="J5" s="6" t="s">
        <v>17</v>
      </c>
      <c r="K5" s="7" t="str">
        <f>IF(Patients[[#This Row],[Age]]&lt;=30,"Young",IF(Patients[[#This Row],[Age]]&lt;60,"Middle","Senior"))</f>
        <v>Middle</v>
      </c>
    </row>
    <row r="6" spans="1:11" x14ac:dyDescent="0.3">
      <c r="A6" s="5">
        <v>5</v>
      </c>
      <c r="B6" s="6" t="s">
        <v>28</v>
      </c>
      <c r="C6" s="6">
        <v>30</v>
      </c>
      <c r="D6" s="6" t="s">
        <v>12</v>
      </c>
      <c r="E6" s="6" t="s">
        <v>29</v>
      </c>
      <c r="F6" s="6" t="s">
        <v>30</v>
      </c>
      <c r="G6" s="6">
        <v>1</v>
      </c>
      <c r="H6" s="6" t="s">
        <v>25</v>
      </c>
      <c r="I6" s="6" t="s">
        <v>20</v>
      </c>
      <c r="J6" s="6" t="s">
        <v>21</v>
      </c>
      <c r="K6" s="7" t="str">
        <f>IF(Patients[[#This Row],[Age]]&lt;=30,"Young",IF(Patients[[#This Row],[Age]]&lt;60,"Middle","Senior"))</f>
        <v>Young</v>
      </c>
    </row>
    <row r="7" spans="1:11" x14ac:dyDescent="0.3">
      <c r="A7" s="5">
        <v>6</v>
      </c>
      <c r="B7" s="6" t="s">
        <v>31</v>
      </c>
      <c r="C7" s="6">
        <v>53</v>
      </c>
      <c r="D7" s="6" t="s">
        <v>23</v>
      </c>
      <c r="E7" s="6" t="s">
        <v>24</v>
      </c>
      <c r="F7" s="6" t="s">
        <v>30</v>
      </c>
      <c r="G7" s="6">
        <v>1</v>
      </c>
      <c r="H7" s="6" t="s">
        <v>25</v>
      </c>
      <c r="I7" s="6" t="s">
        <v>32</v>
      </c>
      <c r="J7" s="6" t="s">
        <v>33</v>
      </c>
      <c r="K7" s="7" t="str">
        <f>IF(Patients[[#This Row],[Age]]&lt;=30,"Young",IF(Patients[[#This Row],[Age]]&lt;60,"Middle","Senior"))</f>
        <v>Middle</v>
      </c>
    </row>
    <row r="8" spans="1:11" x14ac:dyDescent="0.3">
      <c r="A8" s="5">
        <v>7</v>
      </c>
      <c r="B8" s="6" t="s">
        <v>34</v>
      </c>
      <c r="C8" s="6">
        <v>83</v>
      </c>
      <c r="D8" s="6" t="s">
        <v>12</v>
      </c>
      <c r="E8" s="6" t="s">
        <v>13</v>
      </c>
      <c r="F8" s="6" t="s">
        <v>35</v>
      </c>
      <c r="G8" s="6">
        <v>0</v>
      </c>
      <c r="H8" s="6" t="s">
        <v>25</v>
      </c>
      <c r="I8" s="6" t="s">
        <v>20</v>
      </c>
      <c r="J8" s="6" t="s">
        <v>21</v>
      </c>
      <c r="K8" s="7" t="str">
        <f>IF(Patients[[#This Row],[Age]]&lt;=30,"Young",IF(Patients[[#This Row],[Age]]&lt;60,"Middle","Senior"))</f>
        <v>Senior</v>
      </c>
    </row>
    <row r="9" spans="1:11" x14ac:dyDescent="0.3">
      <c r="A9" s="5">
        <v>8</v>
      </c>
      <c r="B9" s="6" t="s">
        <v>36</v>
      </c>
      <c r="C9" s="6">
        <v>43</v>
      </c>
      <c r="D9" s="6" t="s">
        <v>12</v>
      </c>
      <c r="E9" s="6" t="s">
        <v>24</v>
      </c>
      <c r="F9" s="6" t="s">
        <v>27</v>
      </c>
      <c r="G9" s="6">
        <v>0</v>
      </c>
      <c r="H9" s="6" t="s">
        <v>25</v>
      </c>
      <c r="I9" s="6" t="s">
        <v>37</v>
      </c>
      <c r="J9" s="6" t="s">
        <v>33</v>
      </c>
      <c r="K9" s="7" t="str">
        <f>IF(Patients[[#This Row],[Age]]&lt;=30,"Young",IF(Patients[[#This Row],[Age]]&lt;60,"Middle","Senior"))</f>
        <v>Middle</v>
      </c>
    </row>
    <row r="10" spans="1:11" x14ac:dyDescent="0.3">
      <c r="A10" s="5">
        <v>9</v>
      </c>
      <c r="B10" s="6" t="s">
        <v>38</v>
      </c>
      <c r="C10" s="6">
        <v>62</v>
      </c>
      <c r="D10" s="6" t="s">
        <v>23</v>
      </c>
      <c r="E10" s="6" t="s">
        <v>19</v>
      </c>
      <c r="F10" s="6" t="s">
        <v>35</v>
      </c>
      <c r="G10" s="6">
        <v>0</v>
      </c>
      <c r="H10" s="6" t="s">
        <v>15</v>
      </c>
      <c r="I10" s="6" t="s">
        <v>20</v>
      </c>
      <c r="J10" s="6" t="s">
        <v>33</v>
      </c>
      <c r="K10" s="7" t="str">
        <f>IF(Patients[[#This Row],[Age]]&lt;=30,"Young",IF(Patients[[#This Row],[Age]]&lt;60,"Middle","Senior"))</f>
        <v>Senior</v>
      </c>
    </row>
    <row r="11" spans="1:11" x14ac:dyDescent="0.3">
      <c r="A11" s="5">
        <v>10</v>
      </c>
      <c r="B11" s="6" t="s">
        <v>39</v>
      </c>
      <c r="C11" s="6">
        <v>35</v>
      </c>
      <c r="D11" s="6" t="s">
        <v>23</v>
      </c>
      <c r="E11" s="6" t="s">
        <v>19</v>
      </c>
      <c r="F11" s="6" t="s">
        <v>30</v>
      </c>
      <c r="G11" s="6">
        <v>0</v>
      </c>
      <c r="H11" s="6" t="s">
        <v>25</v>
      </c>
      <c r="I11" s="6" t="s">
        <v>16</v>
      </c>
      <c r="J11" s="6" t="s">
        <v>17</v>
      </c>
      <c r="K11" s="7" t="str">
        <f>IF(Patients[[#This Row],[Age]]&lt;=30,"Young",IF(Patients[[#This Row],[Age]]&lt;60,"Middle","Senior"))</f>
        <v>Middle</v>
      </c>
    </row>
    <row r="12" spans="1:11" x14ac:dyDescent="0.3">
      <c r="A12" s="5">
        <v>11</v>
      </c>
      <c r="B12" s="6" t="s">
        <v>40</v>
      </c>
      <c r="C12" s="6">
        <v>83</v>
      </c>
      <c r="D12" s="6" t="s">
        <v>23</v>
      </c>
      <c r="E12" s="6" t="s">
        <v>13</v>
      </c>
      <c r="F12" s="6" t="s">
        <v>14</v>
      </c>
      <c r="G12" s="6">
        <v>1</v>
      </c>
      <c r="H12" s="6" t="s">
        <v>25</v>
      </c>
      <c r="I12" s="6" t="s">
        <v>37</v>
      </c>
      <c r="J12" s="6" t="s">
        <v>17</v>
      </c>
      <c r="K12" s="7" t="str">
        <f>IF(Patients[[#This Row],[Age]]&lt;=30,"Young",IF(Patients[[#This Row],[Age]]&lt;60,"Middle","Senior"))</f>
        <v>Senior</v>
      </c>
    </row>
    <row r="13" spans="1:11" x14ac:dyDescent="0.3">
      <c r="A13" s="5">
        <v>12</v>
      </c>
      <c r="B13" s="6" t="s">
        <v>41</v>
      </c>
      <c r="C13" s="6">
        <v>71</v>
      </c>
      <c r="D13" s="6" t="s">
        <v>23</v>
      </c>
      <c r="E13" s="6" t="s">
        <v>13</v>
      </c>
      <c r="F13" s="6" t="s">
        <v>14</v>
      </c>
      <c r="G13" s="6">
        <v>1</v>
      </c>
      <c r="H13" s="6" t="s">
        <v>25</v>
      </c>
      <c r="I13" s="6" t="s">
        <v>20</v>
      </c>
      <c r="J13" s="6" t="s">
        <v>21</v>
      </c>
      <c r="K13" s="7" t="str">
        <f>IF(Patients[[#This Row],[Age]]&lt;=30,"Young",IF(Patients[[#This Row],[Age]]&lt;60,"Middle","Senior"))</f>
        <v>Senior</v>
      </c>
    </row>
    <row r="14" spans="1:11" x14ac:dyDescent="0.3">
      <c r="A14" s="5">
        <v>13</v>
      </c>
      <c r="B14" s="6" t="s">
        <v>42</v>
      </c>
      <c r="C14" s="6">
        <v>79</v>
      </c>
      <c r="D14" s="6" t="s">
        <v>23</v>
      </c>
      <c r="E14" s="6" t="s">
        <v>13</v>
      </c>
      <c r="F14" s="6" t="s">
        <v>43</v>
      </c>
      <c r="G14" s="6">
        <v>0</v>
      </c>
      <c r="H14" s="6" t="s">
        <v>15</v>
      </c>
      <c r="I14" s="6" t="s">
        <v>20</v>
      </c>
      <c r="J14" s="6" t="s">
        <v>33</v>
      </c>
      <c r="K14" s="7" t="str">
        <f>IF(Patients[[#This Row],[Age]]&lt;=30,"Young",IF(Patients[[#This Row],[Age]]&lt;60,"Middle","Senior"))</f>
        <v>Senior</v>
      </c>
    </row>
    <row r="15" spans="1:11" x14ac:dyDescent="0.3">
      <c r="A15" s="5">
        <v>14</v>
      </c>
      <c r="B15" s="6" t="s">
        <v>44</v>
      </c>
      <c r="C15" s="6">
        <v>50</v>
      </c>
      <c r="D15" s="6" t="s">
        <v>23</v>
      </c>
      <c r="E15" s="6" t="s">
        <v>24</v>
      </c>
      <c r="F15" s="6" t="s">
        <v>43</v>
      </c>
      <c r="G15" s="6">
        <v>1</v>
      </c>
      <c r="H15" s="6" t="s">
        <v>15</v>
      </c>
      <c r="I15" s="6" t="s">
        <v>37</v>
      </c>
      <c r="J15" s="6" t="s">
        <v>17</v>
      </c>
      <c r="K15" s="7" t="str">
        <f>IF(Patients[[#This Row],[Age]]&lt;=30,"Young",IF(Patients[[#This Row],[Age]]&lt;60,"Middle","Senior"))</f>
        <v>Middle</v>
      </c>
    </row>
    <row r="16" spans="1:11" x14ac:dyDescent="0.3">
      <c r="A16" s="5">
        <v>15</v>
      </c>
      <c r="B16" s="6" t="s">
        <v>45</v>
      </c>
      <c r="C16" s="6">
        <v>25</v>
      </c>
      <c r="D16" s="6" t="s">
        <v>23</v>
      </c>
      <c r="E16" s="6" t="s">
        <v>29</v>
      </c>
      <c r="F16" s="6" t="s">
        <v>30</v>
      </c>
      <c r="G16" s="6">
        <v>1</v>
      </c>
      <c r="H16" s="6" t="s">
        <v>15</v>
      </c>
      <c r="I16" s="6" t="s">
        <v>20</v>
      </c>
      <c r="J16" s="6" t="s">
        <v>33</v>
      </c>
      <c r="K16" s="7" t="str">
        <f>IF(Patients[[#This Row],[Age]]&lt;=30,"Young",IF(Patients[[#This Row],[Age]]&lt;60,"Middle","Senior"))</f>
        <v>Young</v>
      </c>
    </row>
    <row r="17" spans="1:11" x14ac:dyDescent="0.3">
      <c r="A17" s="5">
        <v>16</v>
      </c>
      <c r="B17" s="6" t="s">
        <v>46</v>
      </c>
      <c r="C17" s="6">
        <v>81</v>
      </c>
      <c r="D17" s="6" t="s">
        <v>12</v>
      </c>
      <c r="E17" s="6" t="s">
        <v>29</v>
      </c>
      <c r="F17" s="6" t="s">
        <v>14</v>
      </c>
      <c r="G17" s="6">
        <v>0</v>
      </c>
      <c r="H17" s="6" t="s">
        <v>15</v>
      </c>
      <c r="I17" s="6" t="s">
        <v>37</v>
      </c>
      <c r="J17" s="6" t="s">
        <v>33</v>
      </c>
      <c r="K17" s="7" t="str">
        <f>IF(Patients[[#This Row],[Age]]&lt;=30,"Young",IF(Patients[[#This Row],[Age]]&lt;60,"Middle","Senior"))</f>
        <v>Senior</v>
      </c>
    </row>
    <row r="18" spans="1:11" x14ac:dyDescent="0.3">
      <c r="A18" s="5">
        <v>17</v>
      </c>
      <c r="B18" s="6" t="s">
        <v>47</v>
      </c>
      <c r="C18" s="6">
        <v>80</v>
      </c>
      <c r="D18" s="6" t="s">
        <v>23</v>
      </c>
      <c r="E18" s="6" t="s">
        <v>19</v>
      </c>
      <c r="F18" s="6" t="s">
        <v>14</v>
      </c>
      <c r="G18" s="6">
        <v>1</v>
      </c>
      <c r="H18" s="6" t="s">
        <v>25</v>
      </c>
      <c r="I18" s="6" t="s">
        <v>37</v>
      </c>
      <c r="J18" s="6" t="s">
        <v>17</v>
      </c>
      <c r="K18" s="7" t="str">
        <f>IF(Patients[[#This Row],[Age]]&lt;=30,"Young",IF(Patients[[#This Row],[Age]]&lt;60,"Middle","Senior"))</f>
        <v>Senior</v>
      </c>
    </row>
    <row r="19" spans="1:11" x14ac:dyDescent="0.3">
      <c r="A19" s="5">
        <v>18</v>
      </c>
      <c r="B19" s="6" t="s">
        <v>48</v>
      </c>
      <c r="C19" s="6">
        <v>45</v>
      </c>
      <c r="D19" s="6" t="s">
        <v>12</v>
      </c>
      <c r="E19" s="6" t="s">
        <v>24</v>
      </c>
      <c r="F19" s="6" t="s">
        <v>43</v>
      </c>
      <c r="G19" s="6">
        <v>1</v>
      </c>
      <c r="H19" s="6" t="s">
        <v>15</v>
      </c>
      <c r="I19" s="6" t="s">
        <v>20</v>
      </c>
      <c r="J19" s="6" t="s">
        <v>33</v>
      </c>
      <c r="K19" s="7" t="str">
        <f>IF(Patients[[#This Row],[Age]]&lt;=30,"Young",IF(Patients[[#This Row],[Age]]&lt;60,"Middle","Senior"))</f>
        <v>Middle</v>
      </c>
    </row>
    <row r="20" spans="1:11" x14ac:dyDescent="0.3">
      <c r="A20" s="5">
        <v>19</v>
      </c>
      <c r="B20" s="6" t="s">
        <v>49</v>
      </c>
      <c r="C20" s="6">
        <v>47</v>
      </c>
      <c r="D20" s="6" t="s">
        <v>23</v>
      </c>
      <c r="E20" s="6" t="s">
        <v>29</v>
      </c>
      <c r="F20" s="6" t="s">
        <v>14</v>
      </c>
      <c r="G20" s="6">
        <v>1</v>
      </c>
      <c r="H20" s="6" t="s">
        <v>15</v>
      </c>
      <c r="I20" s="6" t="s">
        <v>32</v>
      </c>
      <c r="J20" s="6" t="s">
        <v>33</v>
      </c>
      <c r="K20" s="7" t="str">
        <f>IF(Patients[[#This Row],[Age]]&lt;=30,"Young",IF(Patients[[#This Row],[Age]]&lt;60,"Middle","Senior"))</f>
        <v>Middle</v>
      </c>
    </row>
    <row r="21" spans="1:11" x14ac:dyDescent="0.3">
      <c r="A21" s="5">
        <v>20</v>
      </c>
      <c r="B21" s="6" t="s">
        <v>50</v>
      </c>
      <c r="C21" s="6">
        <v>81</v>
      </c>
      <c r="D21" s="6" t="s">
        <v>23</v>
      </c>
      <c r="E21" s="6" t="s">
        <v>19</v>
      </c>
      <c r="F21" s="6" t="s">
        <v>14</v>
      </c>
      <c r="G21" s="6">
        <v>1</v>
      </c>
      <c r="H21" s="6" t="s">
        <v>25</v>
      </c>
      <c r="I21" s="6" t="s">
        <v>37</v>
      </c>
      <c r="J21" s="6" t="s">
        <v>33</v>
      </c>
      <c r="K21" s="7" t="str">
        <f>IF(Patients[[#This Row],[Age]]&lt;=30,"Young",IF(Patients[[#This Row],[Age]]&lt;60,"Middle","Senior"))</f>
        <v>Senior</v>
      </c>
    </row>
    <row r="22" spans="1:11" x14ac:dyDescent="0.3">
      <c r="A22" s="5">
        <v>21</v>
      </c>
      <c r="B22" s="6" t="s">
        <v>51</v>
      </c>
      <c r="C22" s="6">
        <v>69</v>
      </c>
      <c r="D22" s="6" t="s">
        <v>23</v>
      </c>
      <c r="E22" s="6" t="s">
        <v>29</v>
      </c>
      <c r="F22" s="6" t="s">
        <v>14</v>
      </c>
      <c r="G22" s="6">
        <v>1</v>
      </c>
      <c r="H22" s="6" t="s">
        <v>15</v>
      </c>
      <c r="I22" s="6" t="s">
        <v>16</v>
      </c>
      <c r="J22" s="6" t="s">
        <v>33</v>
      </c>
      <c r="K22" s="7" t="str">
        <f>IF(Patients[[#This Row],[Age]]&lt;=30,"Young",IF(Patients[[#This Row],[Age]]&lt;60,"Middle","Senior"))</f>
        <v>Senior</v>
      </c>
    </row>
    <row r="23" spans="1:11" x14ac:dyDescent="0.3">
      <c r="A23" s="5">
        <v>22</v>
      </c>
      <c r="B23" s="6" t="s">
        <v>52</v>
      </c>
      <c r="C23" s="6">
        <v>48</v>
      </c>
      <c r="D23" s="6" t="s">
        <v>23</v>
      </c>
      <c r="E23" s="6" t="s">
        <v>13</v>
      </c>
      <c r="F23" s="6" t="s">
        <v>14</v>
      </c>
      <c r="G23" s="6">
        <v>0</v>
      </c>
      <c r="H23" s="6" t="s">
        <v>25</v>
      </c>
      <c r="I23" s="6" t="s">
        <v>37</v>
      </c>
      <c r="J23" s="6" t="s">
        <v>17</v>
      </c>
      <c r="K23" s="7" t="str">
        <f>IF(Patients[[#This Row],[Age]]&lt;=30,"Young",IF(Patients[[#This Row],[Age]]&lt;60,"Middle","Senior"))</f>
        <v>Middle</v>
      </c>
    </row>
    <row r="24" spans="1:11" x14ac:dyDescent="0.3">
      <c r="A24" s="5">
        <v>23</v>
      </c>
      <c r="B24" s="6" t="s">
        <v>53</v>
      </c>
      <c r="C24" s="6">
        <v>22</v>
      </c>
      <c r="D24" s="6" t="s">
        <v>12</v>
      </c>
      <c r="E24" s="6" t="s">
        <v>13</v>
      </c>
      <c r="F24" s="6" t="s">
        <v>14</v>
      </c>
      <c r="G24" s="6">
        <v>0</v>
      </c>
      <c r="H24" s="6" t="s">
        <v>25</v>
      </c>
      <c r="I24" s="6" t="s">
        <v>20</v>
      </c>
      <c r="J24" s="6" t="s">
        <v>33</v>
      </c>
      <c r="K24" s="7" t="str">
        <f>IF(Patients[[#This Row],[Age]]&lt;=30,"Young",IF(Patients[[#This Row],[Age]]&lt;60,"Middle","Senior"))</f>
        <v>Young</v>
      </c>
    </row>
    <row r="25" spans="1:11" x14ac:dyDescent="0.3">
      <c r="A25" s="5">
        <v>24</v>
      </c>
      <c r="B25" s="6" t="s">
        <v>54</v>
      </c>
      <c r="C25" s="6">
        <v>70</v>
      </c>
      <c r="D25" s="6" t="s">
        <v>12</v>
      </c>
      <c r="E25" s="6" t="s">
        <v>29</v>
      </c>
      <c r="F25" s="6" t="s">
        <v>14</v>
      </c>
      <c r="G25" s="6">
        <v>0</v>
      </c>
      <c r="H25" s="6" t="s">
        <v>25</v>
      </c>
      <c r="I25" s="6" t="s">
        <v>20</v>
      </c>
      <c r="J25" s="6" t="s">
        <v>33</v>
      </c>
      <c r="K25" s="7" t="str">
        <f>IF(Patients[[#This Row],[Age]]&lt;=30,"Young",IF(Patients[[#This Row],[Age]]&lt;60,"Middle","Senior"))</f>
        <v>Senior</v>
      </c>
    </row>
    <row r="26" spans="1:11" x14ac:dyDescent="0.3">
      <c r="A26" s="5">
        <v>25</v>
      </c>
      <c r="B26" s="6" t="s">
        <v>55</v>
      </c>
      <c r="C26" s="6">
        <v>64</v>
      </c>
      <c r="D26" s="6" t="s">
        <v>23</v>
      </c>
      <c r="E26" s="6" t="s">
        <v>24</v>
      </c>
      <c r="F26" s="6" t="s">
        <v>14</v>
      </c>
      <c r="G26" s="6">
        <v>0</v>
      </c>
      <c r="H26" s="6" t="s">
        <v>25</v>
      </c>
      <c r="I26" s="6" t="s">
        <v>20</v>
      </c>
      <c r="J26" s="6" t="s">
        <v>33</v>
      </c>
      <c r="K26" s="7" t="str">
        <f>IF(Patients[[#This Row],[Age]]&lt;=30,"Young",IF(Patients[[#This Row],[Age]]&lt;60,"Middle","Senior"))</f>
        <v>Senior</v>
      </c>
    </row>
    <row r="27" spans="1:11" x14ac:dyDescent="0.3">
      <c r="A27" s="5">
        <v>26</v>
      </c>
      <c r="B27" s="6" t="s">
        <v>56</v>
      </c>
      <c r="C27" s="6">
        <v>22</v>
      </c>
      <c r="D27" s="6" t="s">
        <v>23</v>
      </c>
      <c r="E27" s="6" t="s">
        <v>13</v>
      </c>
      <c r="F27" s="6" t="s">
        <v>14</v>
      </c>
      <c r="G27" s="6">
        <v>0</v>
      </c>
      <c r="H27" s="6" t="s">
        <v>25</v>
      </c>
      <c r="I27" s="6" t="s">
        <v>37</v>
      </c>
      <c r="J27" s="6" t="s">
        <v>33</v>
      </c>
      <c r="K27" s="7" t="str">
        <f>IF(Patients[[#This Row],[Age]]&lt;=30,"Young",IF(Patients[[#This Row],[Age]]&lt;60,"Middle","Senior"))</f>
        <v>Young</v>
      </c>
    </row>
    <row r="28" spans="1:11" x14ac:dyDescent="0.3">
      <c r="A28" s="5">
        <v>27</v>
      </c>
      <c r="B28" s="6" t="s">
        <v>57</v>
      </c>
      <c r="C28" s="6">
        <v>56</v>
      </c>
      <c r="D28" s="6" t="s">
        <v>23</v>
      </c>
      <c r="E28" s="6" t="s">
        <v>29</v>
      </c>
      <c r="F28" s="6" t="s">
        <v>43</v>
      </c>
      <c r="G28" s="6">
        <v>0</v>
      </c>
      <c r="H28" s="6" t="s">
        <v>25</v>
      </c>
      <c r="I28" s="6" t="s">
        <v>16</v>
      </c>
      <c r="J28" s="6" t="s">
        <v>21</v>
      </c>
      <c r="K28" s="7" t="str">
        <f>IF(Patients[[#This Row],[Age]]&lt;=30,"Young",IF(Patients[[#This Row],[Age]]&lt;60,"Middle","Senior"))</f>
        <v>Middle</v>
      </c>
    </row>
    <row r="29" spans="1:11" x14ac:dyDescent="0.3">
      <c r="A29" s="5">
        <v>28</v>
      </c>
      <c r="B29" s="6" t="s">
        <v>58</v>
      </c>
      <c r="C29" s="6">
        <v>75</v>
      </c>
      <c r="D29" s="6" t="s">
        <v>23</v>
      </c>
      <c r="E29" s="6" t="s">
        <v>13</v>
      </c>
      <c r="F29" s="6" t="s">
        <v>30</v>
      </c>
      <c r="G29" s="6">
        <v>0</v>
      </c>
      <c r="H29" s="6" t="s">
        <v>25</v>
      </c>
      <c r="I29" s="6" t="s">
        <v>16</v>
      </c>
      <c r="J29" s="6" t="s">
        <v>17</v>
      </c>
      <c r="K29" s="7" t="str">
        <f>IF(Patients[[#This Row],[Age]]&lt;=30,"Young",IF(Patients[[#This Row],[Age]]&lt;60,"Middle","Senior"))</f>
        <v>Senior</v>
      </c>
    </row>
    <row r="30" spans="1:11" x14ac:dyDescent="0.3">
      <c r="A30" s="5">
        <v>29</v>
      </c>
      <c r="B30" s="6" t="s">
        <v>59</v>
      </c>
      <c r="C30" s="6">
        <v>77</v>
      </c>
      <c r="D30" s="6" t="s">
        <v>23</v>
      </c>
      <c r="E30" s="6" t="s">
        <v>19</v>
      </c>
      <c r="F30" s="6" t="s">
        <v>43</v>
      </c>
      <c r="G30" s="6">
        <v>0</v>
      </c>
      <c r="H30" s="6" t="s">
        <v>25</v>
      </c>
      <c r="I30" s="6" t="s">
        <v>20</v>
      </c>
      <c r="J30" s="6" t="s">
        <v>33</v>
      </c>
      <c r="K30" s="7" t="str">
        <f>IF(Patients[[#This Row],[Age]]&lt;=30,"Young",IF(Patients[[#This Row],[Age]]&lt;60,"Middle","Senior"))</f>
        <v>Senior</v>
      </c>
    </row>
    <row r="31" spans="1:11" x14ac:dyDescent="0.3">
      <c r="A31" s="5">
        <v>30</v>
      </c>
      <c r="B31" s="6" t="s">
        <v>60</v>
      </c>
      <c r="C31" s="6">
        <v>24</v>
      </c>
      <c r="D31" s="6" t="s">
        <v>61</v>
      </c>
      <c r="E31" s="6" t="s">
        <v>24</v>
      </c>
      <c r="F31" s="6" t="s">
        <v>14</v>
      </c>
      <c r="G31" s="6">
        <v>1</v>
      </c>
      <c r="H31" s="6" t="s">
        <v>25</v>
      </c>
      <c r="I31" s="6" t="s">
        <v>20</v>
      </c>
      <c r="J31" s="6" t="s">
        <v>17</v>
      </c>
      <c r="K31" s="7" t="str">
        <f>IF(Patients[[#This Row],[Age]]&lt;=30,"Young",IF(Patients[[#This Row],[Age]]&lt;60,"Middle","Senior"))</f>
        <v>Young</v>
      </c>
    </row>
    <row r="32" spans="1:11" x14ac:dyDescent="0.3">
      <c r="A32" s="5">
        <v>31</v>
      </c>
      <c r="B32" s="6" t="s">
        <v>62</v>
      </c>
      <c r="C32" s="6">
        <v>57</v>
      </c>
      <c r="D32" s="6" t="s">
        <v>23</v>
      </c>
      <c r="E32" s="6" t="s">
        <v>13</v>
      </c>
      <c r="F32" s="6" t="s">
        <v>43</v>
      </c>
      <c r="G32" s="6">
        <v>0</v>
      </c>
      <c r="H32" s="6" t="s">
        <v>15</v>
      </c>
      <c r="I32" s="6" t="s">
        <v>20</v>
      </c>
      <c r="J32" s="6" t="s">
        <v>17</v>
      </c>
      <c r="K32" s="7" t="str">
        <f>IF(Patients[[#This Row],[Age]]&lt;=30,"Young",IF(Patients[[#This Row],[Age]]&lt;60,"Middle","Senior"))</f>
        <v>Middle</v>
      </c>
    </row>
    <row r="33" spans="1:11" x14ac:dyDescent="0.3">
      <c r="A33" s="5">
        <v>32</v>
      </c>
      <c r="B33" s="6" t="s">
        <v>63</v>
      </c>
      <c r="C33" s="6">
        <v>86</v>
      </c>
      <c r="D33" s="6" t="s">
        <v>12</v>
      </c>
      <c r="E33" s="6" t="s">
        <v>29</v>
      </c>
      <c r="F33" s="6" t="s">
        <v>14</v>
      </c>
      <c r="G33" s="6">
        <v>1</v>
      </c>
      <c r="H33" s="6" t="s">
        <v>25</v>
      </c>
      <c r="I33" s="6" t="s">
        <v>20</v>
      </c>
      <c r="J33" s="6" t="s">
        <v>33</v>
      </c>
      <c r="K33" s="7" t="str">
        <f>IF(Patients[[#This Row],[Age]]&lt;=30,"Young",IF(Patients[[#This Row],[Age]]&lt;60,"Middle","Senior"))</f>
        <v>Senior</v>
      </c>
    </row>
    <row r="34" spans="1:11" x14ac:dyDescent="0.3">
      <c r="A34" s="5">
        <v>33</v>
      </c>
      <c r="B34" s="6" t="s">
        <v>64</v>
      </c>
      <c r="C34" s="6">
        <v>38</v>
      </c>
      <c r="D34" s="6" t="s">
        <v>12</v>
      </c>
      <c r="E34" s="6" t="s">
        <v>13</v>
      </c>
      <c r="F34" s="6" t="s">
        <v>30</v>
      </c>
      <c r="G34" s="6">
        <v>0</v>
      </c>
      <c r="H34" s="6" t="s">
        <v>15</v>
      </c>
      <c r="I34" s="6" t="s">
        <v>32</v>
      </c>
      <c r="J34" s="6" t="s">
        <v>21</v>
      </c>
      <c r="K34" s="7" t="str">
        <f>IF(Patients[[#This Row],[Age]]&lt;=30,"Young",IF(Patients[[#This Row],[Age]]&lt;60,"Middle","Senior"))</f>
        <v>Middle</v>
      </c>
    </row>
    <row r="35" spans="1:11" x14ac:dyDescent="0.3">
      <c r="A35" s="5">
        <v>34</v>
      </c>
      <c r="B35" s="6" t="s">
        <v>65</v>
      </c>
      <c r="C35" s="6">
        <v>54</v>
      </c>
      <c r="D35" s="6" t="s">
        <v>12</v>
      </c>
      <c r="E35" s="6" t="s">
        <v>13</v>
      </c>
      <c r="F35" s="6" t="s">
        <v>43</v>
      </c>
      <c r="G35" s="6">
        <v>0</v>
      </c>
      <c r="H35" s="6" t="s">
        <v>25</v>
      </c>
      <c r="I35" s="6" t="s">
        <v>16</v>
      </c>
      <c r="J35" s="6" t="s">
        <v>17</v>
      </c>
      <c r="K35" s="7" t="str">
        <f>IF(Patients[[#This Row],[Age]]&lt;=30,"Young",IF(Patients[[#This Row],[Age]]&lt;60,"Middle","Senior"))</f>
        <v>Middle</v>
      </c>
    </row>
    <row r="36" spans="1:11" x14ac:dyDescent="0.3">
      <c r="A36" s="5">
        <v>35</v>
      </c>
      <c r="B36" s="6" t="s">
        <v>66</v>
      </c>
      <c r="C36" s="6">
        <v>62</v>
      </c>
      <c r="D36" s="6" t="s">
        <v>23</v>
      </c>
      <c r="E36" s="6" t="s">
        <v>19</v>
      </c>
      <c r="F36" s="6" t="s">
        <v>14</v>
      </c>
      <c r="G36" s="6">
        <v>1</v>
      </c>
      <c r="H36" s="6" t="s">
        <v>15</v>
      </c>
      <c r="I36" s="6" t="s">
        <v>32</v>
      </c>
      <c r="J36" s="6" t="s">
        <v>33</v>
      </c>
      <c r="K36" s="7" t="str">
        <f>IF(Patients[[#This Row],[Age]]&lt;=30,"Young",IF(Patients[[#This Row],[Age]]&lt;60,"Middle","Senior"))</f>
        <v>Senior</v>
      </c>
    </row>
    <row r="37" spans="1:11" x14ac:dyDescent="0.3">
      <c r="A37" s="5">
        <v>36</v>
      </c>
      <c r="B37" s="6" t="s">
        <v>67</v>
      </c>
      <c r="C37" s="6">
        <v>33</v>
      </c>
      <c r="D37" s="6" t="s">
        <v>12</v>
      </c>
      <c r="E37" s="6" t="s">
        <v>19</v>
      </c>
      <c r="F37" s="6" t="s">
        <v>35</v>
      </c>
      <c r="G37" s="6">
        <v>0</v>
      </c>
      <c r="H37" s="6" t="s">
        <v>15</v>
      </c>
      <c r="I37" s="6" t="s">
        <v>37</v>
      </c>
      <c r="J37" s="6" t="s">
        <v>21</v>
      </c>
      <c r="K37" s="7" t="str">
        <f>IF(Patients[[#This Row],[Age]]&lt;=30,"Young",IF(Patients[[#This Row],[Age]]&lt;60,"Middle","Senior"))</f>
        <v>Middle</v>
      </c>
    </row>
    <row r="38" spans="1:11" x14ac:dyDescent="0.3">
      <c r="A38" s="5">
        <v>37</v>
      </c>
      <c r="B38" s="6" t="s">
        <v>68</v>
      </c>
      <c r="C38" s="6">
        <v>33</v>
      </c>
      <c r="D38" s="6" t="s">
        <v>23</v>
      </c>
      <c r="E38" s="6" t="s">
        <v>29</v>
      </c>
      <c r="F38" s="6" t="s">
        <v>43</v>
      </c>
      <c r="G38" s="6">
        <v>0</v>
      </c>
      <c r="H38" s="6" t="s">
        <v>15</v>
      </c>
      <c r="I38" s="6" t="s">
        <v>20</v>
      </c>
      <c r="J38" s="6" t="s">
        <v>33</v>
      </c>
      <c r="K38" s="7" t="str">
        <f>IF(Patients[[#This Row],[Age]]&lt;=30,"Young",IF(Patients[[#This Row],[Age]]&lt;60,"Middle","Senior"))</f>
        <v>Middle</v>
      </c>
    </row>
    <row r="39" spans="1:11" x14ac:dyDescent="0.3">
      <c r="A39" s="5">
        <v>38</v>
      </c>
      <c r="B39" s="6" t="s">
        <v>69</v>
      </c>
      <c r="C39" s="6">
        <v>52</v>
      </c>
      <c r="D39" s="6" t="s">
        <v>23</v>
      </c>
      <c r="E39" s="6" t="s">
        <v>19</v>
      </c>
      <c r="F39" s="6" t="s">
        <v>14</v>
      </c>
      <c r="G39" s="6">
        <v>1</v>
      </c>
      <c r="H39" s="6" t="s">
        <v>15</v>
      </c>
      <c r="I39" s="6" t="s">
        <v>20</v>
      </c>
      <c r="J39" s="6" t="s">
        <v>33</v>
      </c>
      <c r="K39" s="7" t="str">
        <f>IF(Patients[[#This Row],[Age]]&lt;=30,"Young",IF(Patients[[#This Row],[Age]]&lt;60,"Middle","Senior"))</f>
        <v>Middle</v>
      </c>
    </row>
    <row r="40" spans="1:11" x14ac:dyDescent="0.3">
      <c r="A40" s="5">
        <v>39</v>
      </c>
      <c r="B40" s="6" t="s">
        <v>70</v>
      </c>
      <c r="C40" s="6">
        <v>25</v>
      </c>
      <c r="D40" s="6" t="s">
        <v>12</v>
      </c>
      <c r="E40" s="6" t="s">
        <v>24</v>
      </c>
      <c r="F40" s="6" t="s">
        <v>27</v>
      </c>
      <c r="G40" s="6">
        <v>0</v>
      </c>
      <c r="H40" s="6" t="s">
        <v>25</v>
      </c>
      <c r="I40" s="6" t="s">
        <v>16</v>
      </c>
      <c r="J40" s="6" t="s">
        <v>21</v>
      </c>
      <c r="K40" s="7" t="str">
        <f>IF(Patients[[#This Row],[Age]]&lt;=30,"Young",IF(Patients[[#This Row],[Age]]&lt;60,"Middle","Senior"))</f>
        <v>Young</v>
      </c>
    </row>
    <row r="41" spans="1:11" x14ac:dyDescent="0.3">
      <c r="A41" s="5">
        <v>40</v>
      </c>
      <c r="B41" s="6" t="s">
        <v>71</v>
      </c>
      <c r="C41" s="6">
        <v>86</v>
      </c>
      <c r="D41" s="6" t="s">
        <v>23</v>
      </c>
      <c r="E41" s="6" t="s">
        <v>29</v>
      </c>
      <c r="F41" s="6" t="s">
        <v>27</v>
      </c>
      <c r="G41" s="6">
        <v>0</v>
      </c>
      <c r="H41" s="6" t="s">
        <v>25</v>
      </c>
      <c r="I41" s="6" t="s">
        <v>20</v>
      </c>
      <c r="J41" s="6" t="s">
        <v>21</v>
      </c>
      <c r="K41" s="7" t="str">
        <f>IF(Patients[[#This Row],[Age]]&lt;=30,"Young",IF(Patients[[#This Row],[Age]]&lt;60,"Middle","Senior"))</f>
        <v>Senior</v>
      </c>
    </row>
    <row r="42" spans="1:11" x14ac:dyDescent="0.3">
      <c r="A42" s="5">
        <v>41</v>
      </c>
      <c r="B42" s="6" t="s">
        <v>72</v>
      </c>
      <c r="C42" s="6">
        <v>80</v>
      </c>
      <c r="D42" s="6" t="s">
        <v>12</v>
      </c>
      <c r="E42" s="6" t="s">
        <v>13</v>
      </c>
      <c r="F42" s="6" t="s">
        <v>14</v>
      </c>
      <c r="G42" s="6">
        <v>0</v>
      </c>
      <c r="H42" s="6" t="s">
        <v>25</v>
      </c>
      <c r="I42" s="6" t="s">
        <v>37</v>
      </c>
      <c r="J42" s="6" t="s">
        <v>17</v>
      </c>
      <c r="K42" s="7" t="str">
        <f>IF(Patients[[#This Row],[Age]]&lt;=30,"Young",IF(Patients[[#This Row],[Age]]&lt;60,"Middle","Senior"))</f>
        <v>Senior</v>
      </c>
    </row>
    <row r="43" spans="1:11" x14ac:dyDescent="0.3">
      <c r="A43" s="5">
        <v>42</v>
      </c>
      <c r="B43" s="6" t="s">
        <v>73</v>
      </c>
      <c r="C43" s="6">
        <v>60</v>
      </c>
      <c r="D43" s="6" t="s">
        <v>23</v>
      </c>
      <c r="E43" s="6" t="s">
        <v>24</v>
      </c>
      <c r="F43" s="6" t="s">
        <v>43</v>
      </c>
      <c r="G43" s="6">
        <v>1</v>
      </c>
      <c r="H43" s="6" t="s">
        <v>25</v>
      </c>
      <c r="I43" s="6" t="s">
        <v>16</v>
      </c>
      <c r="J43" s="6" t="s">
        <v>17</v>
      </c>
      <c r="K43" s="7" t="str">
        <f>IF(Patients[[#This Row],[Age]]&lt;=30,"Young",IF(Patients[[#This Row],[Age]]&lt;60,"Middle","Senior"))</f>
        <v>Senior</v>
      </c>
    </row>
    <row r="44" spans="1:11" x14ac:dyDescent="0.3">
      <c r="A44" s="5">
        <v>43</v>
      </c>
      <c r="B44" s="6" t="s">
        <v>74</v>
      </c>
      <c r="C44" s="6">
        <v>89</v>
      </c>
      <c r="D44" s="6" t="s">
        <v>12</v>
      </c>
      <c r="E44" s="6" t="s">
        <v>24</v>
      </c>
      <c r="F44" s="6" t="s">
        <v>35</v>
      </c>
      <c r="G44" s="6">
        <v>0</v>
      </c>
      <c r="H44" s="6" t="s">
        <v>25</v>
      </c>
      <c r="I44" s="6" t="s">
        <v>37</v>
      </c>
      <c r="J44" s="6" t="s">
        <v>17</v>
      </c>
      <c r="K44" s="7" t="str">
        <f>IF(Patients[[#This Row],[Age]]&lt;=30,"Young",IF(Patients[[#This Row],[Age]]&lt;60,"Middle","Senior"))</f>
        <v>Senior</v>
      </c>
    </row>
    <row r="45" spans="1:11" x14ac:dyDescent="0.3">
      <c r="A45" s="5">
        <v>44</v>
      </c>
      <c r="B45" s="6" t="s">
        <v>75</v>
      </c>
      <c r="C45" s="6">
        <v>48</v>
      </c>
      <c r="D45" s="6" t="s">
        <v>12</v>
      </c>
      <c r="E45" s="6" t="s">
        <v>19</v>
      </c>
      <c r="F45" s="6" t="s">
        <v>14</v>
      </c>
      <c r="G45" s="6">
        <v>1</v>
      </c>
      <c r="H45" s="6" t="s">
        <v>25</v>
      </c>
      <c r="I45" s="6" t="s">
        <v>20</v>
      </c>
      <c r="J45" s="6" t="s">
        <v>17</v>
      </c>
      <c r="K45" s="7" t="str">
        <f>IF(Patients[[#This Row],[Age]]&lt;=30,"Young",IF(Patients[[#This Row],[Age]]&lt;60,"Middle","Senior"))</f>
        <v>Middle</v>
      </c>
    </row>
    <row r="46" spans="1:11" x14ac:dyDescent="0.3">
      <c r="A46" s="5">
        <v>45</v>
      </c>
      <c r="B46" s="6" t="s">
        <v>76</v>
      </c>
      <c r="C46" s="6">
        <v>69</v>
      </c>
      <c r="D46" s="6" t="s">
        <v>23</v>
      </c>
      <c r="E46" s="6" t="s">
        <v>29</v>
      </c>
      <c r="F46" s="6" t="s">
        <v>43</v>
      </c>
      <c r="G46" s="6">
        <v>1</v>
      </c>
      <c r="H46" s="6" t="s">
        <v>25</v>
      </c>
      <c r="I46" s="6" t="s">
        <v>20</v>
      </c>
      <c r="J46" s="6" t="s">
        <v>17</v>
      </c>
      <c r="K46" s="7" t="str">
        <f>IF(Patients[[#This Row],[Age]]&lt;=30,"Young",IF(Patients[[#This Row],[Age]]&lt;60,"Middle","Senior"))</f>
        <v>Senior</v>
      </c>
    </row>
    <row r="47" spans="1:11" x14ac:dyDescent="0.3">
      <c r="A47" s="5">
        <v>46</v>
      </c>
      <c r="B47" s="6" t="s">
        <v>77</v>
      </c>
      <c r="C47" s="6">
        <v>22</v>
      </c>
      <c r="D47" s="6" t="s">
        <v>23</v>
      </c>
      <c r="E47" s="6" t="s">
        <v>29</v>
      </c>
      <c r="F47" s="6" t="s">
        <v>43</v>
      </c>
      <c r="G47" s="6">
        <v>0</v>
      </c>
      <c r="H47" s="6" t="s">
        <v>25</v>
      </c>
      <c r="I47" s="6" t="s">
        <v>20</v>
      </c>
      <c r="J47" s="6" t="s">
        <v>17</v>
      </c>
      <c r="K47" s="7" t="str">
        <f>IF(Patients[[#This Row],[Age]]&lt;=30,"Young",IF(Patients[[#This Row],[Age]]&lt;60,"Middle","Senior"))</f>
        <v>Young</v>
      </c>
    </row>
    <row r="48" spans="1:11" x14ac:dyDescent="0.3">
      <c r="A48" s="5">
        <v>47</v>
      </c>
      <c r="B48" s="6" t="s">
        <v>78</v>
      </c>
      <c r="C48" s="6">
        <v>85</v>
      </c>
      <c r="D48" s="6" t="s">
        <v>12</v>
      </c>
      <c r="E48" s="6" t="s">
        <v>24</v>
      </c>
      <c r="F48" s="6" t="s">
        <v>14</v>
      </c>
      <c r="G48" s="6">
        <v>1</v>
      </c>
      <c r="H48" s="6" t="s">
        <v>15</v>
      </c>
      <c r="I48" s="6" t="s">
        <v>20</v>
      </c>
      <c r="J48" s="6" t="s">
        <v>33</v>
      </c>
      <c r="K48" s="7" t="str">
        <f>IF(Patients[[#This Row],[Age]]&lt;=30,"Young",IF(Patients[[#This Row],[Age]]&lt;60,"Middle","Senior"))</f>
        <v>Senior</v>
      </c>
    </row>
    <row r="49" spans="1:11" x14ac:dyDescent="0.3">
      <c r="A49" s="5">
        <v>48</v>
      </c>
      <c r="B49" s="6" t="s">
        <v>79</v>
      </c>
      <c r="C49" s="6">
        <v>79</v>
      </c>
      <c r="D49" s="6" t="s">
        <v>12</v>
      </c>
      <c r="E49" s="6" t="s">
        <v>13</v>
      </c>
      <c r="F49" s="6" t="s">
        <v>35</v>
      </c>
      <c r="G49" s="6">
        <v>1</v>
      </c>
      <c r="H49" s="6" t="s">
        <v>25</v>
      </c>
      <c r="I49" s="6" t="s">
        <v>37</v>
      </c>
      <c r="J49" s="6" t="s">
        <v>21</v>
      </c>
      <c r="K49" s="7" t="str">
        <f>IF(Patients[[#This Row],[Age]]&lt;=30,"Young",IF(Patients[[#This Row],[Age]]&lt;60,"Middle","Senior"))</f>
        <v>Senior</v>
      </c>
    </row>
    <row r="50" spans="1:11" x14ac:dyDescent="0.3">
      <c r="A50" s="5">
        <v>49</v>
      </c>
      <c r="B50" s="6" t="s">
        <v>80</v>
      </c>
      <c r="C50" s="6">
        <v>19</v>
      </c>
      <c r="D50" s="6" t="s">
        <v>23</v>
      </c>
      <c r="E50" s="6" t="s">
        <v>29</v>
      </c>
      <c r="F50" s="6" t="s">
        <v>43</v>
      </c>
      <c r="G50" s="6">
        <v>0</v>
      </c>
      <c r="H50" s="6" t="s">
        <v>15</v>
      </c>
      <c r="I50" s="6" t="s">
        <v>16</v>
      </c>
      <c r="J50" s="6" t="s">
        <v>33</v>
      </c>
      <c r="K50" s="7" t="str">
        <f>IF(Patients[[#This Row],[Age]]&lt;=30,"Young",IF(Patients[[#This Row],[Age]]&lt;60,"Middle","Senior"))</f>
        <v>Young</v>
      </c>
    </row>
    <row r="51" spans="1:11" x14ac:dyDescent="0.3">
      <c r="A51" s="5">
        <v>50</v>
      </c>
      <c r="B51" s="6" t="s">
        <v>81</v>
      </c>
      <c r="C51" s="6">
        <v>34</v>
      </c>
      <c r="D51" s="6" t="s">
        <v>12</v>
      </c>
      <c r="E51" s="6" t="s">
        <v>19</v>
      </c>
      <c r="F51" s="6" t="s">
        <v>14</v>
      </c>
      <c r="G51" s="6">
        <v>1</v>
      </c>
      <c r="H51" s="6" t="s">
        <v>25</v>
      </c>
      <c r="I51" s="6" t="s">
        <v>20</v>
      </c>
      <c r="J51" s="6" t="s">
        <v>33</v>
      </c>
      <c r="K51" s="7" t="str">
        <f>IF(Patients[[#This Row],[Age]]&lt;=30,"Young",IF(Patients[[#This Row],[Age]]&lt;60,"Middle","Senior"))</f>
        <v>Middle</v>
      </c>
    </row>
    <row r="52" spans="1:11" x14ac:dyDescent="0.3">
      <c r="A52" s="5">
        <v>51</v>
      </c>
      <c r="B52" s="6" t="s">
        <v>82</v>
      </c>
      <c r="C52" s="6">
        <v>22</v>
      </c>
      <c r="D52" s="6" t="s">
        <v>23</v>
      </c>
      <c r="E52" s="6" t="s">
        <v>13</v>
      </c>
      <c r="F52" s="6" t="s">
        <v>14</v>
      </c>
      <c r="G52" s="6">
        <v>0</v>
      </c>
      <c r="H52" s="6" t="s">
        <v>15</v>
      </c>
      <c r="I52" s="6" t="s">
        <v>20</v>
      </c>
      <c r="J52" s="6" t="s">
        <v>17</v>
      </c>
      <c r="K52" s="7" t="str">
        <f>IF(Patients[[#This Row],[Age]]&lt;=30,"Young",IF(Patients[[#This Row],[Age]]&lt;60,"Middle","Senior"))</f>
        <v>Young</v>
      </c>
    </row>
    <row r="53" spans="1:11" x14ac:dyDescent="0.3">
      <c r="A53" s="5">
        <v>52</v>
      </c>
      <c r="B53" s="6" t="s">
        <v>83</v>
      </c>
      <c r="C53" s="6">
        <v>40</v>
      </c>
      <c r="D53" s="6" t="s">
        <v>23</v>
      </c>
      <c r="E53" s="6" t="s">
        <v>29</v>
      </c>
      <c r="F53" s="6" t="s">
        <v>35</v>
      </c>
      <c r="G53" s="6">
        <v>0</v>
      </c>
      <c r="H53" s="6" t="s">
        <v>15</v>
      </c>
      <c r="I53" s="6" t="s">
        <v>37</v>
      </c>
      <c r="J53" s="6" t="s">
        <v>33</v>
      </c>
      <c r="K53" s="7" t="str">
        <f>IF(Patients[[#This Row],[Age]]&lt;=30,"Young",IF(Patients[[#This Row],[Age]]&lt;60,"Middle","Senior"))</f>
        <v>Middle</v>
      </c>
    </row>
    <row r="54" spans="1:11" x14ac:dyDescent="0.3">
      <c r="A54" s="5">
        <v>53</v>
      </c>
      <c r="B54" s="6" t="s">
        <v>84</v>
      </c>
      <c r="C54" s="6">
        <v>57</v>
      </c>
      <c r="D54" s="6" t="s">
        <v>23</v>
      </c>
      <c r="E54" s="6" t="s">
        <v>29</v>
      </c>
      <c r="F54" s="6" t="s">
        <v>35</v>
      </c>
      <c r="G54" s="6">
        <v>0</v>
      </c>
      <c r="H54" s="6" t="s">
        <v>25</v>
      </c>
      <c r="I54" s="6" t="s">
        <v>37</v>
      </c>
      <c r="J54" s="6" t="s">
        <v>21</v>
      </c>
      <c r="K54" s="7" t="str">
        <f>IF(Patients[[#This Row],[Age]]&lt;=30,"Young",IF(Patients[[#This Row],[Age]]&lt;60,"Middle","Senior"))</f>
        <v>Middle</v>
      </c>
    </row>
    <row r="55" spans="1:11" x14ac:dyDescent="0.3">
      <c r="A55" s="5">
        <v>54</v>
      </c>
      <c r="B55" s="6" t="s">
        <v>85</v>
      </c>
      <c r="C55" s="6">
        <v>36</v>
      </c>
      <c r="D55" s="6" t="s">
        <v>23</v>
      </c>
      <c r="E55" s="6" t="s">
        <v>24</v>
      </c>
      <c r="F55" s="6" t="s">
        <v>43</v>
      </c>
      <c r="G55" s="6">
        <v>0</v>
      </c>
      <c r="H55" s="6" t="s">
        <v>15</v>
      </c>
      <c r="I55" s="6" t="s">
        <v>20</v>
      </c>
      <c r="J55" s="6" t="s">
        <v>17</v>
      </c>
      <c r="K55" s="7" t="str">
        <f>IF(Patients[[#This Row],[Age]]&lt;=30,"Young",IF(Patients[[#This Row],[Age]]&lt;60,"Middle","Senior"))</f>
        <v>Middle</v>
      </c>
    </row>
    <row r="56" spans="1:11" x14ac:dyDescent="0.3">
      <c r="A56" s="5">
        <v>55</v>
      </c>
      <c r="B56" s="6" t="s">
        <v>86</v>
      </c>
      <c r="C56" s="6">
        <v>76</v>
      </c>
      <c r="D56" s="6" t="s">
        <v>23</v>
      </c>
      <c r="E56" s="6" t="s">
        <v>24</v>
      </c>
      <c r="F56" s="6" t="s">
        <v>14</v>
      </c>
      <c r="G56" s="6">
        <v>0</v>
      </c>
      <c r="H56" s="6" t="s">
        <v>25</v>
      </c>
      <c r="I56" s="6" t="s">
        <v>20</v>
      </c>
      <c r="J56" s="6" t="s">
        <v>33</v>
      </c>
      <c r="K56" s="7" t="str">
        <f>IF(Patients[[#This Row],[Age]]&lt;=30,"Young",IF(Patients[[#This Row],[Age]]&lt;60,"Middle","Senior"))</f>
        <v>Senior</v>
      </c>
    </row>
    <row r="57" spans="1:11" x14ac:dyDescent="0.3">
      <c r="A57" s="5">
        <v>56</v>
      </c>
      <c r="B57" s="6" t="s">
        <v>87</v>
      </c>
      <c r="C57" s="6">
        <v>44</v>
      </c>
      <c r="D57" s="6" t="s">
        <v>23</v>
      </c>
      <c r="E57" s="6" t="s">
        <v>13</v>
      </c>
      <c r="F57" s="6" t="s">
        <v>14</v>
      </c>
      <c r="G57" s="6">
        <v>0</v>
      </c>
      <c r="H57" s="6" t="s">
        <v>15</v>
      </c>
      <c r="I57" s="6" t="s">
        <v>20</v>
      </c>
      <c r="J57" s="6" t="s">
        <v>17</v>
      </c>
      <c r="K57" s="7" t="str">
        <f>IF(Patients[[#This Row],[Age]]&lt;=30,"Young",IF(Patients[[#This Row],[Age]]&lt;60,"Middle","Senior"))</f>
        <v>Middle</v>
      </c>
    </row>
    <row r="58" spans="1:11" x14ac:dyDescent="0.3">
      <c r="A58" s="5">
        <v>57</v>
      </c>
      <c r="B58" s="6" t="s">
        <v>88</v>
      </c>
      <c r="C58" s="6">
        <v>88</v>
      </c>
      <c r="D58" s="6" t="s">
        <v>12</v>
      </c>
      <c r="E58" s="6" t="s">
        <v>13</v>
      </c>
      <c r="F58" s="6" t="s">
        <v>14</v>
      </c>
      <c r="G58" s="6">
        <v>0</v>
      </c>
      <c r="H58" s="6" t="s">
        <v>15</v>
      </c>
      <c r="I58" s="6" t="s">
        <v>37</v>
      </c>
      <c r="J58" s="6" t="s">
        <v>33</v>
      </c>
      <c r="K58" s="7" t="str">
        <f>IF(Patients[[#This Row],[Age]]&lt;=30,"Young",IF(Patients[[#This Row],[Age]]&lt;60,"Middle","Senior"))</f>
        <v>Senior</v>
      </c>
    </row>
    <row r="59" spans="1:11" x14ac:dyDescent="0.3">
      <c r="A59" s="5">
        <v>58</v>
      </c>
      <c r="B59" s="6" t="s">
        <v>89</v>
      </c>
      <c r="C59" s="6">
        <v>59</v>
      </c>
      <c r="D59" s="6" t="s">
        <v>23</v>
      </c>
      <c r="E59" s="6" t="s">
        <v>13</v>
      </c>
      <c r="F59" s="6" t="s">
        <v>27</v>
      </c>
      <c r="G59" s="6">
        <v>0</v>
      </c>
      <c r="H59" s="6" t="s">
        <v>15</v>
      </c>
      <c r="I59" s="6" t="s">
        <v>37</v>
      </c>
      <c r="J59" s="6" t="s">
        <v>33</v>
      </c>
      <c r="K59" s="7" t="str">
        <f>IF(Patients[[#This Row],[Age]]&lt;=30,"Young",IF(Patients[[#This Row],[Age]]&lt;60,"Middle","Senior"))</f>
        <v>Middle</v>
      </c>
    </row>
    <row r="60" spans="1:11" x14ac:dyDescent="0.3">
      <c r="A60" s="5">
        <v>59</v>
      </c>
      <c r="B60" s="6" t="s">
        <v>90</v>
      </c>
      <c r="C60" s="6">
        <v>36</v>
      </c>
      <c r="D60" s="6" t="s">
        <v>12</v>
      </c>
      <c r="E60" s="6" t="s">
        <v>19</v>
      </c>
      <c r="F60" s="6" t="s">
        <v>30</v>
      </c>
      <c r="G60" s="6">
        <v>0</v>
      </c>
      <c r="H60" s="6" t="s">
        <v>25</v>
      </c>
      <c r="I60" s="6" t="s">
        <v>32</v>
      </c>
      <c r="J60" s="6" t="s">
        <v>33</v>
      </c>
      <c r="K60" s="7" t="str">
        <f>IF(Patients[[#This Row],[Age]]&lt;=30,"Young",IF(Patients[[#This Row],[Age]]&lt;60,"Middle","Senior"))</f>
        <v>Middle</v>
      </c>
    </row>
    <row r="61" spans="1:11" x14ac:dyDescent="0.3">
      <c r="A61" s="5">
        <v>60</v>
      </c>
      <c r="B61" s="6" t="s">
        <v>91</v>
      </c>
      <c r="C61" s="6">
        <v>86</v>
      </c>
      <c r="D61" s="6" t="s">
        <v>12</v>
      </c>
      <c r="E61" s="6" t="s">
        <v>19</v>
      </c>
      <c r="F61" s="6" t="s">
        <v>14</v>
      </c>
      <c r="G61" s="6">
        <v>1</v>
      </c>
      <c r="H61" s="6" t="s">
        <v>25</v>
      </c>
      <c r="I61" s="6" t="s">
        <v>20</v>
      </c>
      <c r="J61" s="6" t="s">
        <v>33</v>
      </c>
      <c r="K61" s="7" t="str">
        <f>IF(Patients[[#This Row],[Age]]&lt;=30,"Young",IF(Patients[[#This Row],[Age]]&lt;60,"Middle","Senior"))</f>
        <v>Senior</v>
      </c>
    </row>
    <row r="62" spans="1:11" x14ac:dyDescent="0.3">
      <c r="A62" s="5">
        <v>61</v>
      </c>
      <c r="B62" s="6" t="s">
        <v>92</v>
      </c>
      <c r="C62" s="6">
        <v>84</v>
      </c>
      <c r="D62" s="6" t="s">
        <v>12</v>
      </c>
      <c r="E62" s="6" t="s">
        <v>19</v>
      </c>
      <c r="F62" s="6" t="s">
        <v>30</v>
      </c>
      <c r="G62" s="6">
        <v>0</v>
      </c>
      <c r="H62" s="6" t="s">
        <v>15</v>
      </c>
      <c r="I62" s="6" t="s">
        <v>37</v>
      </c>
      <c r="J62" s="6" t="s">
        <v>33</v>
      </c>
      <c r="K62" s="7" t="str">
        <f>IF(Patients[[#This Row],[Age]]&lt;=30,"Young",IF(Patients[[#This Row],[Age]]&lt;60,"Middle","Senior"))</f>
        <v>Senior</v>
      </c>
    </row>
    <row r="63" spans="1:11" x14ac:dyDescent="0.3">
      <c r="A63" s="5">
        <v>62</v>
      </c>
      <c r="B63" s="6" t="s">
        <v>93</v>
      </c>
      <c r="C63" s="6">
        <v>22</v>
      </c>
      <c r="D63" s="6" t="s">
        <v>12</v>
      </c>
      <c r="E63" s="6" t="s">
        <v>24</v>
      </c>
      <c r="F63" s="6" t="s">
        <v>14</v>
      </c>
      <c r="G63" s="6">
        <v>0</v>
      </c>
      <c r="H63" s="6" t="s">
        <v>25</v>
      </c>
      <c r="I63" s="6" t="s">
        <v>20</v>
      </c>
      <c r="J63" s="6" t="s">
        <v>33</v>
      </c>
      <c r="K63" s="7" t="str">
        <f>IF(Patients[[#This Row],[Age]]&lt;=30,"Young",IF(Patients[[#This Row],[Age]]&lt;60,"Middle","Senior"))</f>
        <v>Young</v>
      </c>
    </row>
    <row r="64" spans="1:11" x14ac:dyDescent="0.3">
      <c r="A64" s="5">
        <v>63</v>
      </c>
      <c r="B64" s="6" t="s">
        <v>94</v>
      </c>
      <c r="C64" s="6">
        <v>87</v>
      </c>
      <c r="D64" s="6" t="s">
        <v>23</v>
      </c>
      <c r="E64" s="6" t="s">
        <v>24</v>
      </c>
      <c r="F64" s="6" t="s">
        <v>27</v>
      </c>
      <c r="G64" s="6">
        <v>0</v>
      </c>
      <c r="H64" s="6" t="s">
        <v>15</v>
      </c>
      <c r="I64" s="6" t="s">
        <v>20</v>
      </c>
      <c r="J64" s="6" t="s">
        <v>17</v>
      </c>
      <c r="K64" s="7" t="str">
        <f>IF(Patients[[#This Row],[Age]]&lt;=30,"Young",IF(Patients[[#This Row],[Age]]&lt;60,"Middle","Senior"))</f>
        <v>Senior</v>
      </c>
    </row>
    <row r="65" spans="1:11" x14ac:dyDescent="0.3">
      <c r="A65" s="5">
        <v>64</v>
      </c>
      <c r="B65" s="6" t="s">
        <v>95</v>
      </c>
      <c r="C65" s="6">
        <v>82</v>
      </c>
      <c r="D65" s="6" t="s">
        <v>23</v>
      </c>
      <c r="E65" s="6" t="s">
        <v>24</v>
      </c>
      <c r="F65" s="6" t="s">
        <v>35</v>
      </c>
      <c r="G65" s="6">
        <v>0</v>
      </c>
      <c r="H65" s="6" t="s">
        <v>25</v>
      </c>
      <c r="I65" s="6" t="s">
        <v>16</v>
      </c>
      <c r="J65" s="6" t="s">
        <v>33</v>
      </c>
      <c r="K65" s="7" t="str">
        <f>IF(Patients[[#This Row],[Age]]&lt;=30,"Young",IF(Patients[[#This Row],[Age]]&lt;60,"Middle","Senior"))</f>
        <v>Senior</v>
      </c>
    </row>
    <row r="66" spans="1:11" x14ac:dyDescent="0.3">
      <c r="A66" s="5">
        <v>65</v>
      </c>
      <c r="B66" s="6" t="s">
        <v>96</v>
      </c>
      <c r="C66" s="6">
        <v>85</v>
      </c>
      <c r="D66" s="6" t="s">
        <v>23</v>
      </c>
      <c r="E66" s="6" t="s">
        <v>19</v>
      </c>
      <c r="F66" s="6" t="s">
        <v>14</v>
      </c>
      <c r="G66" s="6">
        <v>1</v>
      </c>
      <c r="H66" s="6" t="s">
        <v>15</v>
      </c>
      <c r="I66" s="6" t="s">
        <v>16</v>
      </c>
      <c r="J66" s="6" t="s">
        <v>21</v>
      </c>
      <c r="K66" s="7" t="str">
        <f>IF(Patients[[#This Row],[Age]]&lt;=30,"Young",IF(Patients[[#This Row],[Age]]&lt;60,"Middle","Senior"))</f>
        <v>Senior</v>
      </c>
    </row>
    <row r="67" spans="1:11" x14ac:dyDescent="0.3">
      <c r="A67" s="5">
        <v>66</v>
      </c>
      <c r="B67" s="6" t="s">
        <v>97</v>
      </c>
      <c r="C67" s="6">
        <v>82</v>
      </c>
      <c r="D67" s="6" t="s">
        <v>61</v>
      </c>
      <c r="E67" s="6" t="s">
        <v>29</v>
      </c>
      <c r="F67" s="6" t="s">
        <v>35</v>
      </c>
      <c r="G67" s="6">
        <v>0</v>
      </c>
      <c r="H67" s="6" t="s">
        <v>25</v>
      </c>
      <c r="I67" s="6" t="s">
        <v>37</v>
      </c>
      <c r="J67" s="6" t="s">
        <v>33</v>
      </c>
      <c r="K67" s="7" t="str">
        <f>IF(Patients[[#This Row],[Age]]&lt;=30,"Young",IF(Patients[[#This Row],[Age]]&lt;60,"Middle","Senior"))</f>
        <v>Senior</v>
      </c>
    </row>
    <row r="68" spans="1:11" x14ac:dyDescent="0.3">
      <c r="A68" s="5">
        <v>67</v>
      </c>
      <c r="B68" s="6" t="s">
        <v>98</v>
      </c>
      <c r="C68" s="6">
        <v>46</v>
      </c>
      <c r="D68" s="6" t="s">
        <v>23</v>
      </c>
      <c r="E68" s="6" t="s">
        <v>29</v>
      </c>
      <c r="F68" s="6" t="s">
        <v>43</v>
      </c>
      <c r="G68" s="6">
        <v>1</v>
      </c>
      <c r="H68" s="6" t="s">
        <v>15</v>
      </c>
      <c r="I68" s="6" t="s">
        <v>16</v>
      </c>
      <c r="J68" s="6" t="s">
        <v>17</v>
      </c>
      <c r="K68" s="7" t="str">
        <f>IF(Patients[[#This Row],[Age]]&lt;=30,"Young",IF(Patients[[#This Row],[Age]]&lt;60,"Middle","Senior"))</f>
        <v>Middle</v>
      </c>
    </row>
    <row r="69" spans="1:11" x14ac:dyDescent="0.3">
      <c r="A69" s="5">
        <v>68</v>
      </c>
      <c r="B69" s="6" t="s">
        <v>99</v>
      </c>
      <c r="C69" s="6">
        <v>72</v>
      </c>
      <c r="D69" s="6" t="s">
        <v>12</v>
      </c>
      <c r="E69" s="6" t="s">
        <v>13</v>
      </c>
      <c r="F69" s="6" t="s">
        <v>35</v>
      </c>
      <c r="G69" s="6">
        <v>0</v>
      </c>
      <c r="H69" s="6" t="s">
        <v>15</v>
      </c>
      <c r="I69" s="6" t="s">
        <v>37</v>
      </c>
      <c r="J69" s="6" t="s">
        <v>33</v>
      </c>
      <c r="K69" s="7" t="str">
        <f>IF(Patients[[#This Row],[Age]]&lt;=30,"Young",IF(Patients[[#This Row],[Age]]&lt;60,"Middle","Senior"))</f>
        <v>Senior</v>
      </c>
    </row>
    <row r="70" spans="1:11" x14ac:dyDescent="0.3">
      <c r="A70" s="5">
        <v>69</v>
      </c>
      <c r="B70" s="6" t="s">
        <v>100</v>
      </c>
      <c r="C70" s="6">
        <v>69</v>
      </c>
      <c r="D70" s="6" t="s">
        <v>23</v>
      </c>
      <c r="E70" s="6" t="s">
        <v>19</v>
      </c>
      <c r="F70" s="6" t="s">
        <v>14</v>
      </c>
      <c r="G70" s="6">
        <v>0</v>
      </c>
      <c r="H70" s="6" t="s">
        <v>15</v>
      </c>
      <c r="I70" s="6" t="s">
        <v>37</v>
      </c>
      <c r="J70" s="6" t="s">
        <v>21</v>
      </c>
      <c r="K70" s="7" t="str">
        <f>IF(Patients[[#This Row],[Age]]&lt;=30,"Young",IF(Patients[[#This Row],[Age]]&lt;60,"Middle","Senior"))</f>
        <v>Senior</v>
      </c>
    </row>
    <row r="71" spans="1:11" x14ac:dyDescent="0.3">
      <c r="A71" s="5">
        <v>70</v>
      </c>
      <c r="B71" s="6" t="s">
        <v>101</v>
      </c>
      <c r="C71" s="6">
        <v>70</v>
      </c>
      <c r="D71" s="6" t="s">
        <v>23</v>
      </c>
      <c r="E71" s="6" t="s">
        <v>13</v>
      </c>
      <c r="F71" s="6" t="s">
        <v>43</v>
      </c>
      <c r="G71" s="6">
        <v>0</v>
      </c>
      <c r="H71" s="6" t="s">
        <v>25</v>
      </c>
      <c r="I71" s="6" t="s">
        <v>16</v>
      </c>
      <c r="J71" s="6" t="s">
        <v>33</v>
      </c>
      <c r="K71" s="7" t="str">
        <f>IF(Patients[[#This Row],[Age]]&lt;=30,"Young",IF(Patients[[#This Row],[Age]]&lt;60,"Middle","Senior"))</f>
        <v>Senior</v>
      </c>
    </row>
    <row r="72" spans="1:11" x14ac:dyDescent="0.3">
      <c r="A72" s="5">
        <v>71</v>
      </c>
      <c r="B72" s="6" t="s">
        <v>102</v>
      </c>
      <c r="C72" s="6">
        <v>84</v>
      </c>
      <c r="D72" s="6" t="s">
        <v>23</v>
      </c>
      <c r="E72" s="6" t="s">
        <v>29</v>
      </c>
      <c r="F72" s="6" t="s">
        <v>30</v>
      </c>
      <c r="G72" s="6">
        <v>0</v>
      </c>
      <c r="H72" s="6" t="s">
        <v>15</v>
      </c>
      <c r="I72" s="6" t="s">
        <v>37</v>
      </c>
      <c r="J72" s="6" t="s">
        <v>21</v>
      </c>
      <c r="K72" s="7" t="str">
        <f>IF(Patients[[#This Row],[Age]]&lt;=30,"Young",IF(Patients[[#This Row],[Age]]&lt;60,"Middle","Senior"))</f>
        <v>Senior</v>
      </c>
    </row>
    <row r="73" spans="1:11" x14ac:dyDescent="0.3">
      <c r="A73" s="5">
        <v>72</v>
      </c>
      <c r="B73" s="6" t="s">
        <v>103</v>
      </c>
      <c r="C73" s="6">
        <v>60</v>
      </c>
      <c r="D73" s="6" t="s">
        <v>12</v>
      </c>
      <c r="E73" s="6" t="s">
        <v>19</v>
      </c>
      <c r="F73" s="6" t="s">
        <v>43</v>
      </c>
      <c r="G73" s="6">
        <v>0</v>
      </c>
      <c r="H73" s="6" t="s">
        <v>15</v>
      </c>
      <c r="I73" s="6" t="s">
        <v>16</v>
      </c>
      <c r="J73" s="6" t="s">
        <v>21</v>
      </c>
      <c r="K73" s="7" t="str">
        <f>IF(Patients[[#This Row],[Age]]&lt;=30,"Young",IF(Patients[[#This Row],[Age]]&lt;60,"Middle","Senior"))</f>
        <v>Senior</v>
      </c>
    </row>
    <row r="74" spans="1:11" x14ac:dyDescent="0.3">
      <c r="A74" s="5">
        <v>73</v>
      </c>
      <c r="B74" s="6" t="s">
        <v>104</v>
      </c>
      <c r="C74" s="6">
        <v>84</v>
      </c>
      <c r="D74" s="6" t="s">
        <v>23</v>
      </c>
      <c r="E74" s="6" t="s">
        <v>19</v>
      </c>
      <c r="F74" s="6" t="s">
        <v>14</v>
      </c>
      <c r="G74" s="6">
        <v>0</v>
      </c>
      <c r="H74" s="6" t="s">
        <v>25</v>
      </c>
      <c r="I74" s="6" t="s">
        <v>20</v>
      </c>
      <c r="J74" s="6" t="s">
        <v>33</v>
      </c>
      <c r="K74" s="7" t="str">
        <f>IF(Patients[[#This Row],[Age]]&lt;=30,"Young",IF(Patients[[#This Row],[Age]]&lt;60,"Middle","Senior"))</f>
        <v>Senior</v>
      </c>
    </row>
    <row r="75" spans="1:11" x14ac:dyDescent="0.3">
      <c r="A75" s="5">
        <v>74</v>
      </c>
      <c r="B75" s="6" t="s">
        <v>105</v>
      </c>
      <c r="C75" s="6">
        <v>66</v>
      </c>
      <c r="D75" s="6" t="s">
        <v>23</v>
      </c>
      <c r="E75" s="6" t="s">
        <v>13</v>
      </c>
      <c r="F75" s="6" t="s">
        <v>14</v>
      </c>
      <c r="G75" s="6">
        <v>1</v>
      </c>
      <c r="H75" s="6" t="s">
        <v>25</v>
      </c>
      <c r="I75" s="6" t="s">
        <v>20</v>
      </c>
      <c r="J75" s="6" t="s">
        <v>33</v>
      </c>
      <c r="K75" s="7" t="str">
        <f>IF(Patients[[#This Row],[Age]]&lt;=30,"Young",IF(Patients[[#This Row],[Age]]&lt;60,"Middle","Senior"))</f>
        <v>Senior</v>
      </c>
    </row>
    <row r="76" spans="1:11" x14ac:dyDescent="0.3">
      <c r="A76" s="5">
        <v>75</v>
      </c>
      <c r="B76" s="6" t="s">
        <v>106</v>
      </c>
      <c r="C76" s="6">
        <v>57</v>
      </c>
      <c r="D76" s="6" t="s">
        <v>61</v>
      </c>
      <c r="E76" s="6" t="s">
        <v>24</v>
      </c>
      <c r="F76" s="6" t="s">
        <v>14</v>
      </c>
      <c r="G76" s="6">
        <v>0</v>
      </c>
      <c r="H76" s="6" t="s">
        <v>25</v>
      </c>
      <c r="I76" s="6" t="s">
        <v>20</v>
      </c>
      <c r="J76" s="6" t="s">
        <v>17</v>
      </c>
      <c r="K76" s="7" t="str">
        <f>IF(Patients[[#This Row],[Age]]&lt;=30,"Young",IF(Patients[[#This Row],[Age]]&lt;60,"Middle","Senior"))</f>
        <v>Middle</v>
      </c>
    </row>
    <row r="77" spans="1:11" x14ac:dyDescent="0.3">
      <c r="A77" s="5">
        <v>76</v>
      </c>
      <c r="B77" s="6" t="s">
        <v>107</v>
      </c>
      <c r="C77" s="6">
        <v>41</v>
      </c>
      <c r="D77" s="6" t="s">
        <v>12</v>
      </c>
      <c r="E77" s="6" t="s">
        <v>19</v>
      </c>
      <c r="F77" s="6" t="s">
        <v>35</v>
      </c>
      <c r="G77" s="6">
        <v>0</v>
      </c>
      <c r="H77" s="6" t="s">
        <v>25</v>
      </c>
      <c r="I77" s="6" t="s">
        <v>16</v>
      </c>
      <c r="J77" s="6" t="s">
        <v>33</v>
      </c>
      <c r="K77" s="7" t="str">
        <f>IF(Patients[[#This Row],[Age]]&lt;=30,"Young",IF(Patients[[#This Row],[Age]]&lt;60,"Middle","Senior"))</f>
        <v>Middle</v>
      </c>
    </row>
    <row r="78" spans="1:11" x14ac:dyDescent="0.3">
      <c r="A78" s="5">
        <v>77</v>
      </c>
      <c r="B78" s="6" t="s">
        <v>108</v>
      </c>
      <c r="C78" s="6">
        <v>61</v>
      </c>
      <c r="D78" s="6" t="s">
        <v>12</v>
      </c>
      <c r="E78" s="6" t="s">
        <v>29</v>
      </c>
      <c r="F78" s="6" t="s">
        <v>14</v>
      </c>
      <c r="G78" s="6">
        <v>1</v>
      </c>
      <c r="H78" s="6" t="s">
        <v>15</v>
      </c>
      <c r="I78" s="6" t="s">
        <v>20</v>
      </c>
      <c r="J78" s="6" t="s">
        <v>17</v>
      </c>
      <c r="K78" s="7" t="str">
        <f>IF(Patients[[#This Row],[Age]]&lt;=30,"Young",IF(Patients[[#This Row],[Age]]&lt;60,"Middle","Senior"))</f>
        <v>Senior</v>
      </c>
    </row>
    <row r="79" spans="1:11" x14ac:dyDescent="0.3">
      <c r="A79" s="5">
        <v>78</v>
      </c>
      <c r="B79" s="6" t="s">
        <v>109</v>
      </c>
      <c r="C79" s="6">
        <v>25</v>
      </c>
      <c r="D79" s="6" t="s">
        <v>23</v>
      </c>
      <c r="E79" s="6" t="s">
        <v>24</v>
      </c>
      <c r="F79" s="6" t="s">
        <v>14</v>
      </c>
      <c r="G79" s="6">
        <v>0</v>
      </c>
      <c r="H79" s="6" t="s">
        <v>25</v>
      </c>
      <c r="I79" s="6" t="s">
        <v>20</v>
      </c>
      <c r="J79" s="6" t="s">
        <v>17</v>
      </c>
      <c r="K79" s="7" t="str">
        <f>IF(Patients[[#This Row],[Age]]&lt;=30,"Young",IF(Patients[[#This Row],[Age]]&lt;60,"Middle","Senior"))</f>
        <v>Young</v>
      </c>
    </row>
    <row r="80" spans="1:11" x14ac:dyDescent="0.3">
      <c r="A80" s="5">
        <v>79</v>
      </c>
      <c r="B80" s="6" t="s">
        <v>110</v>
      </c>
      <c r="C80" s="6">
        <v>81</v>
      </c>
      <c r="D80" s="6" t="s">
        <v>23</v>
      </c>
      <c r="E80" s="6" t="s">
        <v>24</v>
      </c>
      <c r="F80" s="6" t="s">
        <v>14</v>
      </c>
      <c r="G80" s="6">
        <v>0</v>
      </c>
      <c r="H80" s="6" t="s">
        <v>15</v>
      </c>
      <c r="I80" s="6" t="s">
        <v>37</v>
      </c>
      <c r="J80" s="6" t="s">
        <v>17</v>
      </c>
      <c r="K80" s="7" t="str">
        <f>IF(Patients[[#This Row],[Age]]&lt;=30,"Young",IF(Patients[[#This Row],[Age]]&lt;60,"Middle","Senior"))</f>
        <v>Senior</v>
      </c>
    </row>
    <row r="81" spans="1:11" x14ac:dyDescent="0.3">
      <c r="A81" s="5">
        <v>80</v>
      </c>
      <c r="B81" s="6" t="s">
        <v>111</v>
      </c>
      <c r="C81" s="6">
        <v>20</v>
      </c>
      <c r="D81" s="6" t="s">
        <v>12</v>
      </c>
      <c r="E81" s="6" t="s">
        <v>29</v>
      </c>
      <c r="F81" s="6" t="s">
        <v>27</v>
      </c>
      <c r="G81" s="6">
        <v>1</v>
      </c>
      <c r="H81" s="6" t="s">
        <v>25</v>
      </c>
      <c r="I81" s="6" t="s">
        <v>20</v>
      </c>
      <c r="J81" s="6" t="s">
        <v>21</v>
      </c>
      <c r="K81" s="7" t="str">
        <f>IF(Patients[[#This Row],[Age]]&lt;=30,"Young",IF(Patients[[#This Row],[Age]]&lt;60,"Middle","Senior"))</f>
        <v>Young</v>
      </c>
    </row>
    <row r="82" spans="1:11" x14ac:dyDescent="0.3">
      <c r="A82" s="5">
        <v>81</v>
      </c>
      <c r="B82" s="6" t="s">
        <v>112</v>
      </c>
      <c r="C82" s="6">
        <v>76</v>
      </c>
      <c r="D82" s="6" t="s">
        <v>12</v>
      </c>
      <c r="E82" s="6" t="s">
        <v>29</v>
      </c>
      <c r="F82" s="6" t="s">
        <v>14</v>
      </c>
      <c r="G82" s="6">
        <v>0</v>
      </c>
      <c r="H82" s="6" t="s">
        <v>25</v>
      </c>
      <c r="I82" s="6" t="s">
        <v>20</v>
      </c>
      <c r="J82" s="6" t="s">
        <v>33</v>
      </c>
      <c r="K82" s="7" t="str">
        <f>IF(Patients[[#This Row],[Age]]&lt;=30,"Young",IF(Patients[[#This Row],[Age]]&lt;60,"Middle","Senior"))</f>
        <v>Senior</v>
      </c>
    </row>
    <row r="83" spans="1:11" x14ac:dyDescent="0.3">
      <c r="A83" s="5">
        <v>82</v>
      </c>
      <c r="B83" s="6" t="s">
        <v>113</v>
      </c>
      <c r="C83" s="6">
        <v>42</v>
      </c>
      <c r="D83" s="6" t="s">
        <v>12</v>
      </c>
      <c r="E83" s="6" t="s">
        <v>24</v>
      </c>
      <c r="F83" s="6" t="s">
        <v>14</v>
      </c>
      <c r="G83" s="6">
        <v>0</v>
      </c>
      <c r="H83" s="6" t="s">
        <v>15</v>
      </c>
      <c r="I83" s="6" t="s">
        <v>32</v>
      </c>
      <c r="J83" s="6" t="s">
        <v>21</v>
      </c>
      <c r="K83" s="7" t="str">
        <f>IF(Patients[[#This Row],[Age]]&lt;=30,"Young",IF(Patients[[#This Row],[Age]]&lt;60,"Middle","Senior"))</f>
        <v>Middle</v>
      </c>
    </row>
    <row r="84" spans="1:11" x14ac:dyDescent="0.3">
      <c r="A84" s="5">
        <v>83</v>
      </c>
      <c r="B84" s="6" t="s">
        <v>114</v>
      </c>
      <c r="C84" s="6">
        <v>81</v>
      </c>
      <c r="D84" s="6" t="s">
        <v>12</v>
      </c>
      <c r="E84" s="6" t="s">
        <v>13</v>
      </c>
      <c r="F84" s="6" t="s">
        <v>30</v>
      </c>
      <c r="G84" s="6">
        <v>1</v>
      </c>
      <c r="H84" s="6" t="s">
        <v>15</v>
      </c>
      <c r="I84" s="6" t="s">
        <v>20</v>
      </c>
      <c r="J84" s="6" t="s">
        <v>17</v>
      </c>
      <c r="K84" s="7" t="str">
        <f>IF(Patients[[#This Row],[Age]]&lt;=30,"Young",IF(Patients[[#This Row],[Age]]&lt;60,"Middle","Senior"))</f>
        <v>Senior</v>
      </c>
    </row>
    <row r="85" spans="1:11" x14ac:dyDescent="0.3">
      <c r="A85" s="5">
        <v>84</v>
      </c>
      <c r="B85" s="6" t="s">
        <v>115</v>
      </c>
      <c r="C85" s="6">
        <v>30</v>
      </c>
      <c r="D85" s="6" t="s">
        <v>23</v>
      </c>
      <c r="E85" s="6" t="s">
        <v>24</v>
      </c>
      <c r="F85" s="6" t="s">
        <v>14</v>
      </c>
      <c r="G85" s="6">
        <v>0</v>
      </c>
      <c r="H85" s="6" t="s">
        <v>15</v>
      </c>
      <c r="I85" s="6" t="s">
        <v>16</v>
      </c>
      <c r="J85" s="6" t="s">
        <v>33</v>
      </c>
      <c r="K85" s="7" t="str">
        <f>IF(Patients[[#This Row],[Age]]&lt;=30,"Young",IF(Patients[[#This Row],[Age]]&lt;60,"Middle","Senior"))</f>
        <v>Young</v>
      </c>
    </row>
    <row r="86" spans="1:11" x14ac:dyDescent="0.3">
      <c r="A86" s="5">
        <v>85</v>
      </c>
      <c r="B86" s="6" t="s">
        <v>116</v>
      </c>
      <c r="C86" s="6">
        <v>42</v>
      </c>
      <c r="D86" s="6" t="s">
        <v>23</v>
      </c>
      <c r="E86" s="6" t="s">
        <v>13</v>
      </c>
      <c r="F86" s="6" t="s">
        <v>14</v>
      </c>
      <c r="G86" s="6">
        <v>1</v>
      </c>
      <c r="H86" s="6" t="s">
        <v>25</v>
      </c>
      <c r="I86" s="6" t="s">
        <v>37</v>
      </c>
      <c r="J86" s="6" t="s">
        <v>21</v>
      </c>
      <c r="K86" s="7" t="str">
        <f>IF(Patients[[#This Row],[Age]]&lt;=30,"Young",IF(Patients[[#This Row],[Age]]&lt;60,"Middle","Senior"))</f>
        <v>Middle</v>
      </c>
    </row>
    <row r="87" spans="1:11" x14ac:dyDescent="0.3">
      <c r="A87" s="5">
        <v>86</v>
      </c>
      <c r="B87" s="6" t="s">
        <v>117</v>
      </c>
      <c r="C87" s="6">
        <v>76</v>
      </c>
      <c r="D87" s="6" t="s">
        <v>12</v>
      </c>
      <c r="E87" s="6" t="s">
        <v>29</v>
      </c>
      <c r="F87" s="6" t="s">
        <v>30</v>
      </c>
      <c r="G87" s="6">
        <v>1</v>
      </c>
      <c r="H87" s="6" t="s">
        <v>15</v>
      </c>
      <c r="I87" s="6" t="s">
        <v>16</v>
      </c>
      <c r="J87" s="6" t="s">
        <v>33</v>
      </c>
      <c r="K87" s="7" t="str">
        <f>IF(Patients[[#This Row],[Age]]&lt;=30,"Young",IF(Patients[[#This Row],[Age]]&lt;60,"Middle","Senior"))</f>
        <v>Senior</v>
      </c>
    </row>
    <row r="88" spans="1:11" x14ac:dyDescent="0.3">
      <c r="A88" s="5">
        <v>87</v>
      </c>
      <c r="B88" s="6" t="s">
        <v>118</v>
      </c>
      <c r="C88" s="6">
        <v>57</v>
      </c>
      <c r="D88" s="6" t="s">
        <v>12</v>
      </c>
      <c r="E88" s="6" t="s">
        <v>19</v>
      </c>
      <c r="F88" s="6" t="s">
        <v>14</v>
      </c>
      <c r="G88" s="6">
        <v>1</v>
      </c>
      <c r="H88" s="6" t="s">
        <v>25</v>
      </c>
      <c r="I88" s="6" t="s">
        <v>20</v>
      </c>
      <c r="J88" s="6" t="s">
        <v>21</v>
      </c>
      <c r="K88" s="7" t="str">
        <f>IF(Patients[[#This Row],[Age]]&lt;=30,"Young",IF(Patients[[#This Row],[Age]]&lt;60,"Middle","Senior"))</f>
        <v>Middle</v>
      </c>
    </row>
    <row r="89" spans="1:11" x14ac:dyDescent="0.3">
      <c r="A89" s="5">
        <v>88</v>
      </c>
      <c r="B89" s="6" t="s">
        <v>119</v>
      </c>
      <c r="C89" s="6">
        <v>78</v>
      </c>
      <c r="D89" s="6" t="s">
        <v>12</v>
      </c>
      <c r="E89" s="6" t="s">
        <v>19</v>
      </c>
      <c r="F89" s="6" t="s">
        <v>27</v>
      </c>
      <c r="G89" s="6">
        <v>0</v>
      </c>
      <c r="H89" s="6" t="s">
        <v>25</v>
      </c>
      <c r="I89" s="6" t="s">
        <v>20</v>
      </c>
      <c r="J89" s="6" t="s">
        <v>33</v>
      </c>
      <c r="K89" s="7" t="str">
        <f>IF(Patients[[#This Row],[Age]]&lt;=30,"Young",IF(Patients[[#This Row],[Age]]&lt;60,"Middle","Senior"))</f>
        <v>Senior</v>
      </c>
    </row>
    <row r="90" spans="1:11" x14ac:dyDescent="0.3">
      <c r="A90" s="5">
        <v>89</v>
      </c>
      <c r="B90" s="6" t="s">
        <v>120</v>
      </c>
      <c r="C90" s="6">
        <v>68</v>
      </c>
      <c r="D90" s="6" t="s">
        <v>23</v>
      </c>
      <c r="E90" s="6" t="s">
        <v>19</v>
      </c>
      <c r="F90" s="6" t="s">
        <v>30</v>
      </c>
      <c r="G90" s="6">
        <v>0</v>
      </c>
      <c r="H90" s="6" t="s">
        <v>15</v>
      </c>
      <c r="I90" s="6" t="s">
        <v>20</v>
      </c>
      <c r="J90" s="6" t="s">
        <v>21</v>
      </c>
      <c r="K90" s="7" t="str">
        <f>IF(Patients[[#This Row],[Age]]&lt;=30,"Young",IF(Patients[[#This Row],[Age]]&lt;60,"Middle","Senior"))</f>
        <v>Senior</v>
      </c>
    </row>
    <row r="91" spans="1:11" x14ac:dyDescent="0.3">
      <c r="A91" s="5">
        <v>90</v>
      </c>
      <c r="B91" s="6" t="s">
        <v>121</v>
      </c>
      <c r="C91" s="6">
        <v>62</v>
      </c>
      <c r="D91" s="6" t="s">
        <v>23</v>
      </c>
      <c r="E91" s="6" t="s">
        <v>24</v>
      </c>
      <c r="F91" s="6" t="s">
        <v>35</v>
      </c>
      <c r="G91" s="6">
        <v>0</v>
      </c>
      <c r="H91" s="6" t="s">
        <v>15</v>
      </c>
      <c r="I91" s="6" t="s">
        <v>16</v>
      </c>
      <c r="J91" s="6" t="s">
        <v>33</v>
      </c>
      <c r="K91" s="7" t="str">
        <f>IF(Patients[[#This Row],[Age]]&lt;=30,"Young",IF(Patients[[#This Row],[Age]]&lt;60,"Middle","Senior"))</f>
        <v>Senior</v>
      </c>
    </row>
    <row r="92" spans="1:11" x14ac:dyDescent="0.3">
      <c r="A92" s="5">
        <v>91</v>
      </c>
      <c r="B92" s="6" t="s">
        <v>122</v>
      </c>
      <c r="C92" s="6">
        <v>88</v>
      </c>
      <c r="D92" s="6" t="s">
        <v>23</v>
      </c>
      <c r="E92" s="6" t="s">
        <v>29</v>
      </c>
      <c r="F92" s="6" t="s">
        <v>14</v>
      </c>
      <c r="G92" s="6">
        <v>1</v>
      </c>
      <c r="H92" s="6" t="s">
        <v>15</v>
      </c>
      <c r="I92" s="6" t="s">
        <v>32</v>
      </c>
      <c r="J92" s="6" t="s">
        <v>21</v>
      </c>
      <c r="K92" s="7" t="str">
        <f>IF(Patients[[#This Row],[Age]]&lt;=30,"Young",IF(Patients[[#This Row],[Age]]&lt;60,"Middle","Senior"))</f>
        <v>Senior</v>
      </c>
    </row>
    <row r="93" spans="1:11" x14ac:dyDescent="0.3">
      <c r="A93" s="5">
        <v>92</v>
      </c>
      <c r="B93" s="6" t="s">
        <v>123</v>
      </c>
      <c r="C93" s="6">
        <v>52</v>
      </c>
      <c r="D93" s="6" t="s">
        <v>23</v>
      </c>
      <c r="E93" s="6" t="s">
        <v>19</v>
      </c>
      <c r="F93" s="6" t="s">
        <v>27</v>
      </c>
      <c r="G93" s="6">
        <v>0</v>
      </c>
      <c r="H93" s="6" t="s">
        <v>25</v>
      </c>
      <c r="I93" s="6" t="s">
        <v>20</v>
      </c>
      <c r="J93" s="6" t="s">
        <v>33</v>
      </c>
      <c r="K93" s="7" t="str">
        <f>IF(Patients[[#This Row],[Age]]&lt;=30,"Young",IF(Patients[[#This Row],[Age]]&lt;60,"Middle","Senior"))</f>
        <v>Middle</v>
      </c>
    </row>
    <row r="94" spans="1:11" x14ac:dyDescent="0.3">
      <c r="A94" s="5">
        <v>93</v>
      </c>
      <c r="B94" s="6" t="s">
        <v>124</v>
      </c>
      <c r="C94" s="6">
        <v>35</v>
      </c>
      <c r="D94" s="6" t="s">
        <v>12</v>
      </c>
      <c r="E94" s="6" t="s">
        <v>13</v>
      </c>
      <c r="F94" s="6" t="s">
        <v>35</v>
      </c>
      <c r="G94" s="6">
        <v>0</v>
      </c>
      <c r="H94" s="6" t="s">
        <v>25</v>
      </c>
      <c r="I94" s="6" t="s">
        <v>37</v>
      </c>
      <c r="J94" s="6" t="s">
        <v>33</v>
      </c>
      <c r="K94" s="7" t="str">
        <f>IF(Patients[[#This Row],[Age]]&lt;=30,"Young",IF(Patients[[#This Row],[Age]]&lt;60,"Middle","Senior"))</f>
        <v>Middle</v>
      </c>
    </row>
    <row r="95" spans="1:11" x14ac:dyDescent="0.3">
      <c r="A95" s="5">
        <v>94</v>
      </c>
      <c r="B95" s="6" t="s">
        <v>125</v>
      </c>
      <c r="C95" s="6">
        <v>38</v>
      </c>
      <c r="D95" s="6" t="s">
        <v>12</v>
      </c>
      <c r="E95" s="6" t="s">
        <v>24</v>
      </c>
      <c r="F95" s="6" t="s">
        <v>14</v>
      </c>
      <c r="G95" s="6">
        <v>0</v>
      </c>
      <c r="H95" s="6" t="s">
        <v>15</v>
      </c>
      <c r="I95" s="6" t="s">
        <v>20</v>
      </c>
      <c r="J95" s="6" t="s">
        <v>33</v>
      </c>
      <c r="K95" s="7" t="str">
        <f>IF(Patients[[#This Row],[Age]]&lt;=30,"Young",IF(Patients[[#This Row],[Age]]&lt;60,"Middle","Senior"))</f>
        <v>Middle</v>
      </c>
    </row>
    <row r="96" spans="1:11" x14ac:dyDescent="0.3">
      <c r="A96" s="5">
        <v>95</v>
      </c>
      <c r="B96" s="6" t="s">
        <v>126</v>
      </c>
      <c r="C96" s="6">
        <v>33</v>
      </c>
      <c r="D96" s="6" t="s">
        <v>12</v>
      </c>
      <c r="E96" s="6" t="s">
        <v>29</v>
      </c>
      <c r="F96" s="6" t="s">
        <v>27</v>
      </c>
      <c r="G96" s="6">
        <v>0</v>
      </c>
      <c r="H96" s="6" t="s">
        <v>15</v>
      </c>
      <c r="I96" s="6" t="s">
        <v>37</v>
      </c>
      <c r="J96" s="6" t="s">
        <v>33</v>
      </c>
      <c r="K96" s="7" t="str">
        <f>IF(Patients[[#This Row],[Age]]&lt;=30,"Young",IF(Patients[[#This Row],[Age]]&lt;60,"Middle","Senior"))</f>
        <v>Middle</v>
      </c>
    </row>
    <row r="97" spans="1:11" x14ac:dyDescent="0.3">
      <c r="A97" s="8">
        <v>96</v>
      </c>
      <c r="B97" s="9" t="s">
        <v>127</v>
      </c>
      <c r="C97" s="9">
        <v>65</v>
      </c>
      <c r="D97" s="9" t="s">
        <v>23</v>
      </c>
      <c r="E97" s="9" t="s">
        <v>19</v>
      </c>
      <c r="F97" s="9" t="s">
        <v>14</v>
      </c>
      <c r="G97" s="9">
        <v>0</v>
      </c>
      <c r="H97" s="9" t="s">
        <v>25</v>
      </c>
      <c r="I97" s="9" t="s">
        <v>37</v>
      </c>
      <c r="J97" s="9" t="s">
        <v>33</v>
      </c>
      <c r="K97" s="7" t="str">
        <f>IF(Patients[[#This Row],[Age]]&lt;=30,"Young",IF(Patients[[#This Row],[Age]]&lt;60,"Middle","Senior"))</f>
        <v>Senior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0DBFC-26FA-400C-81D4-B1A567F2DA27}">
  <dimension ref="A1:I98"/>
  <sheetViews>
    <sheetView workbookViewId="0">
      <selection activeCell="K12" sqref="K12"/>
    </sheetView>
  </sheetViews>
  <sheetFormatPr defaultRowHeight="14.4" x14ac:dyDescent="0.3"/>
  <cols>
    <col min="1" max="1" width="5.21875" customWidth="1"/>
    <col min="2" max="2" width="19.21875" customWidth="1"/>
    <col min="3" max="3" width="20" customWidth="1"/>
    <col min="4" max="4" width="17.88671875" customWidth="1"/>
    <col min="5" max="5" width="25.77734375" customWidth="1"/>
    <col min="6" max="6" width="18.5546875" customWidth="1"/>
    <col min="7" max="7" width="15.77734375" customWidth="1"/>
    <col min="8" max="8" width="27.88671875" customWidth="1"/>
    <col min="9" max="9" width="22.6640625" customWidth="1"/>
  </cols>
  <sheetData>
    <row r="1" spans="1:9" ht="18" x14ac:dyDescent="0.35">
      <c r="A1" s="1" t="s">
        <v>0</v>
      </c>
      <c r="B1" s="2" t="s">
        <v>134</v>
      </c>
      <c r="C1" s="2" t="s">
        <v>135</v>
      </c>
      <c r="D1" s="2" t="s">
        <v>136</v>
      </c>
      <c r="E1" s="2" t="s">
        <v>137</v>
      </c>
      <c r="F1" s="2" t="s">
        <v>138</v>
      </c>
      <c r="G1" s="2" t="s">
        <v>139</v>
      </c>
      <c r="H1" s="2" t="s">
        <v>140</v>
      </c>
      <c r="I1" s="11" t="s">
        <v>141</v>
      </c>
    </row>
    <row r="2" spans="1:9" x14ac:dyDescent="0.3">
      <c r="A2" s="5">
        <v>1</v>
      </c>
      <c r="B2" s="6" t="s">
        <v>142</v>
      </c>
      <c r="C2" s="6" t="s">
        <v>143</v>
      </c>
      <c r="D2" s="6" t="s">
        <v>144</v>
      </c>
      <c r="E2" s="6" t="s">
        <v>145</v>
      </c>
      <c r="F2" s="6" t="s">
        <v>145</v>
      </c>
      <c r="G2" s="6">
        <v>11</v>
      </c>
      <c r="H2" s="6">
        <v>0</v>
      </c>
      <c r="I2" s="7">
        <v>0</v>
      </c>
    </row>
    <row r="3" spans="1:9" x14ac:dyDescent="0.3">
      <c r="A3" s="5">
        <v>2</v>
      </c>
      <c r="B3" s="6" t="s">
        <v>146</v>
      </c>
      <c r="C3" s="6" t="s">
        <v>147</v>
      </c>
      <c r="D3" s="6" t="s">
        <v>148</v>
      </c>
      <c r="E3" s="6" t="s">
        <v>145</v>
      </c>
      <c r="F3" s="6" t="s">
        <v>145</v>
      </c>
      <c r="G3" s="6">
        <v>9</v>
      </c>
      <c r="H3" s="6">
        <v>0</v>
      </c>
      <c r="I3" s="7">
        <v>0</v>
      </c>
    </row>
    <row r="4" spans="1:9" x14ac:dyDescent="0.3">
      <c r="A4" s="5">
        <v>3</v>
      </c>
      <c r="B4" s="6" t="s">
        <v>146</v>
      </c>
      <c r="C4" s="6" t="s">
        <v>143</v>
      </c>
      <c r="D4" s="6" t="s">
        <v>149</v>
      </c>
      <c r="E4" s="6" t="s">
        <v>150</v>
      </c>
      <c r="F4" s="6" t="s">
        <v>145</v>
      </c>
      <c r="G4" s="6">
        <v>3</v>
      </c>
      <c r="H4" s="6">
        <v>0</v>
      </c>
      <c r="I4" s="7">
        <v>1</v>
      </c>
    </row>
    <row r="5" spans="1:9" x14ac:dyDescent="0.3">
      <c r="A5" s="5">
        <v>4</v>
      </c>
      <c r="B5" s="6" t="s">
        <v>146</v>
      </c>
      <c r="C5" s="6" t="s">
        <v>151</v>
      </c>
      <c r="D5" s="6" t="s">
        <v>149</v>
      </c>
      <c r="E5" s="6" t="s">
        <v>145</v>
      </c>
      <c r="F5" s="6" t="s">
        <v>150</v>
      </c>
      <c r="G5" s="6">
        <v>4</v>
      </c>
      <c r="H5" s="6">
        <v>0</v>
      </c>
      <c r="I5" s="7">
        <v>0</v>
      </c>
    </row>
    <row r="6" spans="1:9" x14ac:dyDescent="0.3">
      <c r="A6" s="5">
        <v>5</v>
      </c>
      <c r="B6" s="6" t="s">
        <v>142</v>
      </c>
      <c r="C6" s="6" t="s">
        <v>147</v>
      </c>
      <c r="D6" s="6" t="s">
        <v>149</v>
      </c>
      <c r="E6" s="6" t="s">
        <v>145</v>
      </c>
      <c r="F6" s="6" t="s">
        <v>150</v>
      </c>
      <c r="G6" s="6">
        <v>9</v>
      </c>
      <c r="H6" s="6">
        <v>0</v>
      </c>
      <c r="I6" s="7">
        <v>0</v>
      </c>
    </row>
    <row r="7" spans="1:9" x14ac:dyDescent="0.3">
      <c r="A7" s="5">
        <v>6</v>
      </c>
      <c r="B7" s="6" t="s">
        <v>146</v>
      </c>
      <c r="C7" s="6" t="s">
        <v>151</v>
      </c>
      <c r="D7" s="6" t="s">
        <v>144</v>
      </c>
      <c r="E7" s="6" t="s">
        <v>145</v>
      </c>
      <c r="F7" s="6" t="s">
        <v>150</v>
      </c>
      <c r="G7" s="6">
        <v>7</v>
      </c>
      <c r="H7" s="6">
        <v>0</v>
      </c>
      <c r="I7" s="7">
        <v>0</v>
      </c>
    </row>
    <row r="8" spans="1:9" x14ac:dyDescent="0.3">
      <c r="A8" s="5">
        <v>7</v>
      </c>
      <c r="B8" s="6" t="s">
        <v>146</v>
      </c>
      <c r="C8" s="6" t="s">
        <v>143</v>
      </c>
      <c r="D8" s="6" t="s">
        <v>148</v>
      </c>
      <c r="E8" s="6" t="s">
        <v>145</v>
      </c>
      <c r="F8" s="6" t="s">
        <v>145</v>
      </c>
      <c r="G8" s="6">
        <v>5</v>
      </c>
      <c r="H8" s="6">
        <v>0</v>
      </c>
      <c r="I8" s="7">
        <v>0</v>
      </c>
    </row>
    <row r="9" spans="1:9" x14ac:dyDescent="0.3">
      <c r="A9" s="5">
        <v>8</v>
      </c>
      <c r="B9" s="6" t="s">
        <v>146</v>
      </c>
      <c r="C9" s="6" t="s">
        <v>147</v>
      </c>
      <c r="D9" s="6" t="s">
        <v>149</v>
      </c>
      <c r="E9" s="6" t="s">
        <v>145</v>
      </c>
      <c r="F9" s="6" t="s">
        <v>145</v>
      </c>
      <c r="G9" s="6">
        <v>10</v>
      </c>
      <c r="H9" s="6">
        <v>0</v>
      </c>
      <c r="I9" s="7">
        <v>0</v>
      </c>
    </row>
    <row r="10" spans="1:9" x14ac:dyDescent="0.3">
      <c r="A10" s="5">
        <v>9</v>
      </c>
      <c r="B10" s="6" t="s">
        <v>152</v>
      </c>
      <c r="C10" s="6" t="s">
        <v>143</v>
      </c>
      <c r="D10" s="6" t="s">
        <v>144</v>
      </c>
      <c r="E10" s="6" t="s">
        <v>150</v>
      </c>
      <c r="F10" s="6" t="s">
        <v>145</v>
      </c>
      <c r="G10" s="6">
        <v>8</v>
      </c>
      <c r="H10" s="6">
        <v>1</v>
      </c>
      <c r="I10" s="7">
        <v>0</v>
      </c>
    </row>
    <row r="11" spans="1:9" x14ac:dyDescent="0.3">
      <c r="A11" s="5">
        <v>10</v>
      </c>
      <c r="B11" s="6" t="s">
        <v>146</v>
      </c>
      <c r="C11" s="6" t="s">
        <v>147</v>
      </c>
      <c r="D11" s="6" t="s">
        <v>148</v>
      </c>
      <c r="E11" s="6" t="s">
        <v>145</v>
      </c>
      <c r="F11" s="6" t="s">
        <v>145</v>
      </c>
      <c r="G11" s="6">
        <v>8</v>
      </c>
      <c r="H11" s="6">
        <v>0</v>
      </c>
      <c r="I11" s="7">
        <v>0</v>
      </c>
    </row>
    <row r="12" spans="1:9" x14ac:dyDescent="0.3">
      <c r="A12" s="5">
        <v>11</v>
      </c>
      <c r="B12" s="6" t="s">
        <v>146</v>
      </c>
      <c r="C12" s="6" t="s">
        <v>153</v>
      </c>
      <c r="D12" s="6" t="s">
        <v>144</v>
      </c>
      <c r="E12" s="6" t="s">
        <v>145</v>
      </c>
      <c r="F12" s="6" t="s">
        <v>145</v>
      </c>
      <c r="G12" s="6">
        <v>4</v>
      </c>
      <c r="H12" s="6">
        <v>0</v>
      </c>
      <c r="I12" s="7">
        <v>0</v>
      </c>
    </row>
    <row r="13" spans="1:9" x14ac:dyDescent="0.3">
      <c r="A13" s="5">
        <v>12</v>
      </c>
      <c r="B13" s="6" t="s">
        <v>146</v>
      </c>
      <c r="C13" s="6" t="s">
        <v>147</v>
      </c>
      <c r="D13" s="6" t="s">
        <v>144</v>
      </c>
      <c r="E13" s="6" t="s">
        <v>145</v>
      </c>
      <c r="F13" s="6" t="s">
        <v>145</v>
      </c>
      <c r="G13" s="6">
        <v>6</v>
      </c>
      <c r="H13" s="6">
        <v>1</v>
      </c>
      <c r="I13" s="7">
        <v>0</v>
      </c>
    </row>
    <row r="14" spans="1:9" x14ac:dyDescent="0.3">
      <c r="A14" s="5">
        <v>13</v>
      </c>
      <c r="B14" s="6" t="s">
        <v>146</v>
      </c>
      <c r="C14" s="6" t="s">
        <v>143</v>
      </c>
      <c r="D14" s="6" t="s">
        <v>144</v>
      </c>
      <c r="E14" s="6" t="s">
        <v>145</v>
      </c>
      <c r="F14" s="6" t="s">
        <v>145</v>
      </c>
      <c r="G14" s="6">
        <v>10</v>
      </c>
      <c r="H14" s="6">
        <v>0</v>
      </c>
      <c r="I14" s="7">
        <v>0</v>
      </c>
    </row>
    <row r="15" spans="1:9" x14ac:dyDescent="0.3">
      <c r="A15" s="5">
        <v>14</v>
      </c>
      <c r="B15" s="6" t="s">
        <v>146</v>
      </c>
      <c r="C15" s="6" t="s">
        <v>143</v>
      </c>
      <c r="D15" s="6" t="s">
        <v>144</v>
      </c>
      <c r="E15" s="6" t="s">
        <v>145</v>
      </c>
      <c r="F15" s="6" t="s">
        <v>145</v>
      </c>
      <c r="G15" s="6">
        <v>4</v>
      </c>
      <c r="H15" s="6">
        <v>0</v>
      </c>
      <c r="I15" s="7">
        <v>1</v>
      </c>
    </row>
    <row r="16" spans="1:9" x14ac:dyDescent="0.3">
      <c r="A16" s="5">
        <v>15</v>
      </c>
      <c r="B16" s="6" t="s">
        <v>142</v>
      </c>
      <c r="C16" s="6" t="s">
        <v>143</v>
      </c>
      <c r="D16" s="6" t="s">
        <v>144</v>
      </c>
      <c r="E16" s="6" t="s">
        <v>145</v>
      </c>
      <c r="F16" s="6" t="s">
        <v>145</v>
      </c>
      <c r="G16" s="6">
        <v>11</v>
      </c>
      <c r="H16" s="6">
        <v>0</v>
      </c>
      <c r="I16" s="7">
        <v>0</v>
      </c>
    </row>
    <row r="17" spans="1:9" x14ac:dyDescent="0.3">
      <c r="A17" s="5">
        <v>16</v>
      </c>
      <c r="B17" s="6" t="s">
        <v>146</v>
      </c>
      <c r="C17" s="6" t="s">
        <v>147</v>
      </c>
      <c r="D17" s="6" t="s">
        <v>148</v>
      </c>
      <c r="E17" s="6" t="s">
        <v>145</v>
      </c>
      <c r="F17" s="6" t="s">
        <v>145</v>
      </c>
      <c r="G17" s="6">
        <v>4</v>
      </c>
      <c r="H17" s="6">
        <v>0</v>
      </c>
      <c r="I17" s="7">
        <v>0</v>
      </c>
    </row>
    <row r="18" spans="1:9" x14ac:dyDescent="0.3">
      <c r="A18" s="5">
        <v>17</v>
      </c>
      <c r="B18" s="6" t="s">
        <v>142</v>
      </c>
      <c r="C18" s="6" t="s">
        <v>151</v>
      </c>
      <c r="D18" s="6" t="s">
        <v>148</v>
      </c>
      <c r="E18" s="6" t="s">
        <v>145</v>
      </c>
      <c r="F18" s="6" t="s">
        <v>145</v>
      </c>
      <c r="G18" s="6">
        <v>6</v>
      </c>
      <c r="H18" s="6">
        <v>0</v>
      </c>
      <c r="I18" s="7">
        <v>0</v>
      </c>
    </row>
    <row r="19" spans="1:9" x14ac:dyDescent="0.3">
      <c r="A19" s="5">
        <v>18</v>
      </c>
      <c r="B19" s="6" t="s">
        <v>142</v>
      </c>
      <c r="C19" s="6" t="s">
        <v>147</v>
      </c>
      <c r="D19" s="6" t="s">
        <v>144</v>
      </c>
      <c r="E19" s="6" t="s">
        <v>145</v>
      </c>
      <c r="F19" s="6" t="s">
        <v>145</v>
      </c>
      <c r="G19" s="6">
        <v>10</v>
      </c>
      <c r="H19" s="6">
        <v>0</v>
      </c>
      <c r="I19" s="7">
        <v>0</v>
      </c>
    </row>
    <row r="20" spans="1:9" x14ac:dyDescent="0.3">
      <c r="A20" s="5">
        <v>19</v>
      </c>
      <c r="B20" s="6" t="s">
        <v>146</v>
      </c>
      <c r="C20" s="6" t="s">
        <v>143</v>
      </c>
      <c r="D20" s="6" t="s">
        <v>148</v>
      </c>
      <c r="E20" s="6" t="s">
        <v>145</v>
      </c>
      <c r="F20" s="6" t="s">
        <v>150</v>
      </c>
      <c r="G20" s="6">
        <v>4</v>
      </c>
      <c r="H20" s="6">
        <v>0</v>
      </c>
      <c r="I20" s="7">
        <v>0</v>
      </c>
    </row>
    <row r="21" spans="1:9" x14ac:dyDescent="0.3">
      <c r="A21" s="5">
        <v>20</v>
      </c>
      <c r="B21" s="6" t="s">
        <v>146</v>
      </c>
      <c r="C21" s="6" t="s">
        <v>151</v>
      </c>
      <c r="D21" s="6" t="s">
        <v>148</v>
      </c>
      <c r="E21" s="6" t="s">
        <v>145</v>
      </c>
      <c r="F21" s="6" t="s">
        <v>145</v>
      </c>
      <c r="G21" s="6">
        <v>9</v>
      </c>
      <c r="H21" s="6">
        <v>0</v>
      </c>
      <c r="I21" s="7">
        <v>0</v>
      </c>
    </row>
    <row r="22" spans="1:9" x14ac:dyDescent="0.3">
      <c r="A22" s="5">
        <v>21</v>
      </c>
      <c r="B22" s="6" t="s">
        <v>146</v>
      </c>
      <c r="C22" s="6" t="s">
        <v>143</v>
      </c>
      <c r="D22" s="6" t="s">
        <v>148</v>
      </c>
      <c r="E22" s="6" t="s">
        <v>145</v>
      </c>
      <c r="F22" s="6" t="s">
        <v>145</v>
      </c>
      <c r="G22" s="6">
        <v>11</v>
      </c>
      <c r="H22" s="6">
        <v>0</v>
      </c>
      <c r="I22" s="7">
        <v>0</v>
      </c>
    </row>
    <row r="23" spans="1:9" x14ac:dyDescent="0.3">
      <c r="A23" s="5">
        <v>22</v>
      </c>
      <c r="B23" s="6" t="s">
        <v>146</v>
      </c>
      <c r="C23" s="6" t="s">
        <v>147</v>
      </c>
      <c r="D23" s="6" t="s">
        <v>144</v>
      </c>
      <c r="E23" s="6" t="s">
        <v>145</v>
      </c>
      <c r="F23" s="6" t="s">
        <v>145</v>
      </c>
      <c r="G23" s="6">
        <v>3</v>
      </c>
      <c r="H23" s="6">
        <v>0</v>
      </c>
      <c r="I23" s="7">
        <v>0</v>
      </c>
    </row>
    <row r="24" spans="1:9" x14ac:dyDescent="0.3">
      <c r="A24" s="5">
        <v>23</v>
      </c>
      <c r="B24" s="6" t="s">
        <v>142</v>
      </c>
      <c r="C24" s="6" t="s">
        <v>143</v>
      </c>
      <c r="D24" s="6" t="s">
        <v>144</v>
      </c>
      <c r="E24" s="6" t="s">
        <v>145</v>
      </c>
      <c r="F24" s="6" t="s">
        <v>145</v>
      </c>
      <c r="G24" s="6">
        <v>6</v>
      </c>
      <c r="H24" s="6">
        <v>0</v>
      </c>
      <c r="I24" s="7">
        <v>0</v>
      </c>
    </row>
    <row r="25" spans="1:9" x14ac:dyDescent="0.3">
      <c r="A25" s="5">
        <v>24</v>
      </c>
      <c r="B25" s="6" t="s">
        <v>142</v>
      </c>
      <c r="C25" s="6" t="s">
        <v>143</v>
      </c>
      <c r="D25" s="6" t="s">
        <v>149</v>
      </c>
      <c r="E25" s="6" t="s">
        <v>145</v>
      </c>
      <c r="F25" s="6" t="s">
        <v>150</v>
      </c>
      <c r="G25" s="6">
        <v>12</v>
      </c>
      <c r="H25" s="6">
        <v>0</v>
      </c>
      <c r="I25" s="7">
        <v>0</v>
      </c>
    </row>
    <row r="26" spans="1:9" x14ac:dyDescent="0.3">
      <c r="A26" s="5">
        <v>25</v>
      </c>
      <c r="B26" s="6" t="s">
        <v>146</v>
      </c>
      <c r="C26" s="6" t="s">
        <v>143</v>
      </c>
      <c r="D26" s="6" t="s">
        <v>148</v>
      </c>
      <c r="E26" s="6" t="s">
        <v>145</v>
      </c>
      <c r="F26" s="6" t="s">
        <v>145</v>
      </c>
      <c r="G26" s="6">
        <v>8</v>
      </c>
      <c r="H26" s="6">
        <v>0</v>
      </c>
      <c r="I26" s="7">
        <v>0</v>
      </c>
    </row>
    <row r="27" spans="1:9" x14ac:dyDescent="0.3">
      <c r="A27" s="5">
        <v>26</v>
      </c>
      <c r="B27" s="6" t="s">
        <v>146</v>
      </c>
      <c r="C27" s="6" t="s">
        <v>147</v>
      </c>
      <c r="D27" s="6" t="s">
        <v>144</v>
      </c>
      <c r="E27" s="6" t="s">
        <v>145</v>
      </c>
      <c r="F27" s="6" t="s">
        <v>150</v>
      </c>
      <c r="G27" s="6">
        <v>3</v>
      </c>
      <c r="H27" s="6">
        <v>0</v>
      </c>
      <c r="I27" s="7">
        <v>0</v>
      </c>
    </row>
    <row r="28" spans="1:9" x14ac:dyDescent="0.3">
      <c r="A28" s="5">
        <v>27</v>
      </c>
      <c r="B28" s="6" t="s">
        <v>142</v>
      </c>
      <c r="C28" s="6" t="s">
        <v>143</v>
      </c>
      <c r="D28" s="6" t="s">
        <v>144</v>
      </c>
      <c r="E28" s="6" t="s">
        <v>145</v>
      </c>
      <c r="F28" s="6" t="s">
        <v>145</v>
      </c>
      <c r="G28" s="6">
        <v>3</v>
      </c>
      <c r="H28" s="6">
        <v>0</v>
      </c>
      <c r="I28" s="7">
        <v>0</v>
      </c>
    </row>
    <row r="29" spans="1:9" x14ac:dyDescent="0.3">
      <c r="A29" s="5">
        <v>28</v>
      </c>
      <c r="B29" s="6" t="s">
        <v>146</v>
      </c>
      <c r="C29" s="6" t="s">
        <v>147</v>
      </c>
      <c r="D29" s="6" t="s">
        <v>148</v>
      </c>
      <c r="E29" s="6" t="s">
        <v>150</v>
      </c>
      <c r="F29" s="6" t="s">
        <v>145</v>
      </c>
      <c r="G29" s="6">
        <v>11</v>
      </c>
      <c r="H29" s="6">
        <v>0</v>
      </c>
      <c r="I29" s="7">
        <v>0</v>
      </c>
    </row>
    <row r="30" spans="1:9" x14ac:dyDescent="0.3">
      <c r="A30" s="5">
        <v>29</v>
      </c>
      <c r="B30" s="6" t="s">
        <v>142</v>
      </c>
      <c r="C30" s="6" t="s">
        <v>153</v>
      </c>
      <c r="D30" s="6" t="s">
        <v>144</v>
      </c>
      <c r="E30" s="6" t="s">
        <v>145</v>
      </c>
      <c r="F30" s="6" t="s">
        <v>150</v>
      </c>
      <c r="G30" s="6">
        <v>12</v>
      </c>
      <c r="H30" s="6">
        <v>0</v>
      </c>
      <c r="I30" s="7">
        <v>0</v>
      </c>
    </row>
    <row r="31" spans="1:9" x14ac:dyDescent="0.3">
      <c r="A31" s="5">
        <v>30</v>
      </c>
      <c r="B31" s="6" t="s">
        <v>146</v>
      </c>
      <c r="C31" s="6" t="s">
        <v>143</v>
      </c>
      <c r="D31" s="6" t="s">
        <v>149</v>
      </c>
      <c r="E31" s="6" t="s">
        <v>145</v>
      </c>
      <c r="F31" s="6" t="s">
        <v>145</v>
      </c>
      <c r="G31" s="6">
        <v>3</v>
      </c>
      <c r="H31" s="6">
        <v>0</v>
      </c>
      <c r="I31" s="7">
        <v>0</v>
      </c>
    </row>
    <row r="32" spans="1:9" x14ac:dyDescent="0.3">
      <c r="A32" s="5">
        <v>31</v>
      </c>
      <c r="B32" s="6" t="s">
        <v>146</v>
      </c>
      <c r="C32" s="6" t="s">
        <v>143</v>
      </c>
      <c r="D32" s="6" t="s">
        <v>144</v>
      </c>
      <c r="E32" s="6" t="s">
        <v>145</v>
      </c>
      <c r="F32" s="6" t="s">
        <v>150</v>
      </c>
      <c r="G32" s="6">
        <v>11</v>
      </c>
      <c r="H32" s="6">
        <v>0</v>
      </c>
      <c r="I32" s="7">
        <v>0</v>
      </c>
    </row>
    <row r="33" spans="1:9" x14ac:dyDescent="0.3">
      <c r="A33" s="5">
        <v>32</v>
      </c>
      <c r="B33" s="6" t="s">
        <v>146</v>
      </c>
      <c r="C33" s="6" t="s">
        <v>147</v>
      </c>
      <c r="D33" s="6" t="s">
        <v>144</v>
      </c>
      <c r="E33" s="6" t="s">
        <v>145</v>
      </c>
      <c r="F33" s="6" t="s">
        <v>145</v>
      </c>
      <c r="G33" s="6">
        <v>12</v>
      </c>
      <c r="H33" s="6">
        <v>0</v>
      </c>
      <c r="I33" s="7">
        <v>0</v>
      </c>
    </row>
    <row r="34" spans="1:9" x14ac:dyDescent="0.3">
      <c r="A34" s="5">
        <v>33</v>
      </c>
      <c r="B34" s="6" t="s">
        <v>146</v>
      </c>
      <c r="C34" s="6" t="s">
        <v>143</v>
      </c>
      <c r="D34" s="6" t="s">
        <v>144</v>
      </c>
      <c r="E34" s="6" t="s">
        <v>145</v>
      </c>
      <c r="F34" s="6" t="s">
        <v>145</v>
      </c>
      <c r="G34" s="6">
        <v>9</v>
      </c>
      <c r="H34" s="6">
        <v>0</v>
      </c>
      <c r="I34" s="7">
        <v>0</v>
      </c>
    </row>
    <row r="35" spans="1:9" x14ac:dyDescent="0.3">
      <c r="A35" s="5">
        <v>34</v>
      </c>
      <c r="B35" s="6" t="s">
        <v>146</v>
      </c>
      <c r="C35" s="6" t="s">
        <v>147</v>
      </c>
      <c r="D35" s="6" t="s">
        <v>148</v>
      </c>
      <c r="E35" s="6" t="s">
        <v>145</v>
      </c>
      <c r="F35" s="6" t="s">
        <v>145</v>
      </c>
      <c r="G35" s="6">
        <v>9</v>
      </c>
      <c r="H35" s="6">
        <v>0</v>
      </c>
      <c r="I35" s="7">
        <v>0</v>
      </c>
    </row>
    <row r="36" spans="1:9" x14ac:dyDescent="0.3">
      <c r="A36" s="5">
        <v>35</v>
      </c>
      <c r="B36" s="6" t="s">
        <v>146</v>
      </c>
      <c r="C36" s="6" t="s">
        <v>143</v>
      </c>
      <c r="D36" s="6" t="s">
        <v>148</v>
      </c>
      <c r="E36" s="6" t="s">
        <v>145</v>
      </c>
      <c r="F36" s="6" t="s">
        <v>145</v>
      </c>
      <c r="G36" s="6">
        <v>8</v>
      </c>
      <c r="H36" s="6">
        <v>0</v>
      </c>
      <c r="I36" s="7">
        <v>0</v>
      </c>
    </row>
    <row r="37" spans="1:9" x14ac:dyDescent="0.3">
      <c r="A37" s="5">
        <v>36</v>
      </c>
      <c r="B37" s="6" t="s">
        <v>142</v>
      </c>
      <c r="C37" s="6" t="s">
        <v>147</v>
      </c>
      <c r="D37" s="6" t="s">
        <v>144</v>
      </c>
      <c r="E37" s="6" t="s">
        <v>145</v>
      </c>
      <c r="F37" s="6" t="s">
        <v>150</v>
      </c>
      <c r="G37" s="6">
        <v>8</v>
      </c>
      <c r="H37" s="6">
        <v>1</v>
      </c>
      <c r="I37" s="7">
        <v>0</v>
      </c>
    </row>
    <row r="38" spans="1:9" x14ac:dyDescent="0.3">
      <c r="A38" s="5">
        <v>37</v>
      </c>
      <c r="B38" s="6" t="s">
        <v>146</v>
      </c>
      <c r="C38" s="6" t="s">
        <v>143</v>
      </c>
      <c r="D38" s="6" t="s">
        <v>144</v>
      </c>
      <c r="E38" s="6" t="s">
        <v>145</v>
      </c>
      <c r="F38" s="6" t="s">
        <v>145</v>
      </c>
      <c r="G38" s="6">
        <v>5</v>
      </c>
      <c r="H38" s="6">
        <v>1</v>
      </c>
      <c r="I38" s="7">
        <v>0</v>
      </c>
    </row>
    <row r="39" spans="1:9" x14ac:dyDescent="0.3">
      <c r="A39" s="5">
        <v>38</v>
      </c>
      <c r="B39" s="6" t="s">
        <v>146</v>
      </c>
      <c r="C39" s="6" t="s">
        <v>153</v>
      </c>
      <c r="D39" s="6" t="s">
        <v>144</v>
      </c>
      <c r="E39" s="6" t="s">
        <v>145</v>
      </c>
      <c r="F39" s="6" t="s">
        <v>145</v>
      </c>
      <c r="G39" s="6">
        <v>7</v>
      </c>
      <c r="H39" s="6">
        <v>0</v>
      </c>
      <c r="I39" s="7">
        <v>0</v>
      </c>
    </row>
    <row r="40" spans="1:9" x14ac:dyDescent="0.3">
      <c r="A40" s="5">
        <v>39</v>
      </c>
      <c r="B40" s="6" t="s">
        <v>146</v>
      </c>
      <c r="C40" s="6" t="s">
        <v>147</v>
      </c>
      <c r="D40" s="6" t="s">
        <v>149</v>
      </c>
      <c r="E40" s="6" t="s">
        <v>150</v>
      </c>
      <c r="F40" s="6" t="s">
        <v>145</v>
      </c>
      <c r="G40" s="6">
        <v>4</v>
      </c>
      <c r="H40" s="6">
        <v>0</v>
      </c>
      <c r="I40" s="7">
        <v>0</v>
      </c>
    </row>
    <row r="41" spans="1:9" x14ac:dyDescent="0.3">
      <c r="A41" s="5">
        <v>40</v>
      </c>
      <c r="B41" s="6" t="s">
        <v>142</v>
      </c>
      <c r="C41" s="6" t="s">
        <v>147</v>
      </c>
      <c r="D41" s="6" t="s">
        <v>148</v>
      </c>
      <c r="E41" s="6" t="s">
        <v>145</v>
      </c>
      <c r="F41" s="6" t="s">
        <v>145</v>
      </c>
      <c r="G41" s="6">
        <v>11</v>
      </c>
      <c r="H41" s="6">
        <v>0</v>
      </c>
      <c r="I41" s="7">
        <v>1</v>
      </c>
    </row>
    <row r="42" spans="1:9" x14ac:dyDescent="0.3">
      <c r="A42" s="5">
        <v>41</v>
      </c>
      <c r="B42" s="6" t="s">
        <v>146</v>
      </c>
      <c r="C42" s="6" t="s">
        <v>153</v>
      </c>
      <c r="D42" s="6" t="s">
        <v>149</v>
      </c>
      <c r="E42" s="6" t="s">
        <v>145</v>
      </c>
      <c r="F42" s="6" t="s">
        <v>145</v>
      </c>
      <c r="G42" s="6">
        <v>3</v>
      </c>
      <c r="H42" s="6">
        <v>0</v>
      </c>
      <c r="I42" s="7">
        <v>0</v>
      </c>
    </row>
    <row r="43" spans="1:9" x14ac:dyDescent="0.3">
      <c r="A43" s="5">
        <v>42</v>
      </c>
      <c r="B43" s="6" t="s">
        <v>146</v>
      </c>
      <c r="C43" s="6" t="s">
        <v>151</v>
      </c>
      <c r="D43" s="6" t="s">
        <v>148</v>
      </c>
      <c r="E43" s="6" t="s">
        <v>150</v>
      </c>
      <c r="F43" s="6" t="s">
        <v>145</v>
      </c>
      <c r="G43" s="6">
        <v>7</v>
      </c>
      <c r="H43" s="6">
        <v>0</v>
      </c>
      <c r="I43" s="7">
        <v>1</v>
      </c>
    </row>
    <row r="44" spans="1:9" x14ac:dyDescent="0.3">
      <c r="A44" s="5">
        <v>43</v>
      </c>
      <c r="B44" s="6" t="s">
        <v>146</v>
      </c>
      <c r="C44" s="6" t="s">
        <v>143</v>
      </c>
      <c r="D44" s="6" t="s">
        <v>148</v>
      </c>
      <c r="E44" s="6" t="s">
        <v>145</v>
      </c>
      <c r="F44" s="6" t="s">
        <v>145</v>
      </c>
      <c r="G44" s="6">
        <v>9</v>
      </c>
      <c r="H44" s="6">
        <v>0</v>
      </c>
      <c r="I44" s="7">
        <v>0</v>
      </c>
    </row>
    <row r="45" spans="1:9" x14ac:dyDescent="0.3">
      <c r="A45" s="5">
        <v>44</v>
      </c>
      <c r="B45" s="6" t="s">
        <v>146</v>
      </c>
      <c r="C45" s="6" t="s">
        <v>151</v>
      </c>
      <c r="D45" s="6" t="s">
        <v>149</v>
      </c>
      <c r="E45" s="6" t="s">
        <v>145</v>
      </c>
      <c r="F45" s="6" t="s">
        <v>145</v>
      </c>
      <c r="G45" s="6">
        <v>6</v>
      </c>
      <c r="H45" s="6">
        <v>0</v>
      </c>
      <c r="I45" s="7">
        <v>0</v>
      </c>
    </row>
    <row r="46" spans="1:9" x14ac:dyDescent="0.3">
      <c r="A46" s="5">
        <v>45</v>
      </c>
      <c r="B46" s="6" t="s">
        <v>146</v>
      </c>
      <c r="C46" s="6" t="s">
        <v>147</v>
      </c>
      <c r="D46" s="6" t="s">
        <v>148</v>
      </c>
      <c r="E46" s="6" t="s">
        <v>145</v>
      </c>
      <c r="F46" s="6" t="s">
        <v>150</v>
      </c>
      <c r="G46" s="6">
        <v>8</v>
      </c>
      <c r="H46" s="6">
        <v>0</v>
      </c>
      <c r="I46" s="7">
        <v>0</v>
      </c>
    </row>
    <row r="47" spans="1:9" x14ac:dyDescent="0.3">
      <c r="A47" s="5">
        <v>46</v>
      </c>
      <c r="B47" s="6" t="s">
        <v>142</v>
      </c>
      <c r="C47" s="6" t="s">
        <v>143</v>
      </c>
      <c r="D47" s="6" t="s">
        <v>144</v>
      </c>
      <c r="E47" s="6" t="s">
        <v>145</v>
      </c>
      <c r="F47" s="6" t="s">
        <v>145</v>
      </c>
      <c r="G47" s="6">
        <v>8</v>
      </c>
      <c r="H47" s="6">
        <v>0</v>
      </c>
      <c r="I47" s="7">
        <v>0</v>
      </c>
    </row>
    <row r="48" spans="1:9" x14ac:dyDescent="0.3">
      <c r="A48" s="5">
        <v>47</v>
      </c>
      <c r="B48" s="6" t="s">
        <v>154</v>
      </c>
      <c r="C48" s="6" t="s">
        <v>147</v>
      </c>
      <c r="D48" s="6" t="s">
        <v>144</v>
      </c>
      <c r="E48" s="6" t="s">
        <v>145</v>
      </c>
      <c r="F48" s="6" t="s">
        <v>150</v>
      </c>
      <c r="G48" s="6">
        <v>8</v>
      </c>
      <c r="H48" s="6">
        <v>0</v>
      </c>
      <c r="I48" s="7">
        <v>0</v>
      </c>
    </row>
    <row r="49" spans="1:9" x14ac:dyDescent="0.3">
      <c r="A49" s="5">
        <v>48</v>
      </c>
      <c r="B49" s="6" t="s">
        <v>146</v>
      </c>
      <c r="C49" s="6" t="s">
        <v>153</v>
      </c>
      <c r="D49" s="6" t="s">
        <v>148</v>
      </c>
      <c r="E49" s="6" t="s">
        <v>145</v>
      </c>
      <c r="F49" s="6" t="s">
        <v>145</v>
      </c>
      <c r="G49" s="6">
        <v>9</v>
      </c>
      <c r="H49" s="6">
        <v>0</v>
      </c>
      <c r="I49" s="7">
        <v>0</v>
      </c>
    </row>
    <row r="50" spans="1:9" x14ac:dyDescent="0.3">
      <c r="A50" s="5">
        <v>49</v>
      </c>
      <c r="B50" s="6" t="s">
        <v>146</v>
      </c>
      <c r="C50" s="6" t="s">
        <v>147</v>
      </c>
      <c r="D50" s="6" t="s">
        <v>149</v>
      </c>
      <c r="E50" s="6" t="s">
        <v>150</v>
      </c>
      <c r="F50" s="6" t="s">
        <v>145</v>
      </c>
      <c r="G50" s="6">
        <v>3</v>
      </c>
      <c r="H50" s="6">
        <v>0</v>
      </c>
      <c r="I50" s="7">
        <v>0</v>
      </c>
    </row>
    <row r="51" spans="1:9" x14ac:dyDescent="0.3">
      <c r="A51" s="5">
        <v>50</v>
      </c>
      <c r="B51" s="6" t="s">
        <v>146</v>
      </c>
      <c r="C51" s="6" t="s">
        <v>143</v>
      </c>
      <c r="D51" s="6" t="s">
        <v>148</v>
      </c>
      <c r="E51" s="6" t="s">
        <v>145</v>
      </c>
      <c r="F51" s="6" t="s">
        <v>145</v>
      </c>
      <c r="G51" s="6">
        <v>11</v>
      </c>
      <c r="H51" s="6">
        <v>0</v>
      </c>
      <c r="I51" s="7">
        <v>0</v>
      </c>
    </row>
    <row r="52" spans="1:9" x14ac:dyDescent="0.3">
      <c r="A52" s="5">
        <v>51</v>
      </c>
      <c r="B52" s="6" t="s">
        <v>146</v>
      </c>
      <c r="C52" s="6" t="s">
        <v>143</v>
      </c>
      <c r="D52" s="6" t="s">
        <v>149</v>
      </c>
      <c r="E52" s="6" t="s">
        <v>145</v>
      </c>
      <c r="F52" s="6" t="s">
        <v>145</v>
      </c>
      <c r="G52" s="6">
        <v>10</v>
      </c>
      <c r="H52" s="6">
        <v>1</v>
      </c>
      <c r="I52" s="7">
        <v>0</v>
      </c>
    </row>
    <row r="53" spans="1:9" x14ac:dyDescent="0.3">
      <c r="A53" s="5">
        <v>52</v>
      </c>
      <c r="B53" s="6" t="s">
        <v>142</v>
      </c>
      <c r="C53" s="6" t="s">
        <v>143</v>
      </c>
      <c r="D53" s="6" t="s">
        <v>144</v>
      </c>
      <c r="E53" s="6" t="s">
        <v>145</v>
      </c>
      <c r="F53" s="6" t="s">
        <v>145</v>
      </c>
      <c r="G53" s="6">
        <v>12</v>
      </c>
      <c r="H53" s="6">
        <v>0</v>
      </c>
      <c r="I53" s="7">
        <v>1</v>
      </c>
    </row>
    <row r="54" spans="1:9" x14ac:dyDescent="0.3">
      <c r="A54" s="5">
        <v>53</v>
      </c>
      <c r="B54" s="6" t="s">
        <v>154</v>
      </c>
      <c r="C54" s="6" t="s">
        <v>143</v>
      </c>
      <c r="D54" s="6" t="s">
        <v>148</v>
      </c>
      <c r="E54" s="6" t="s">
        <v>145</v>
      </c>
      <c r="F54" s="6" t="s">
        <v>145</v>
      </c>
      <c r="G54" s="6">
        <v>4</v>
      </c>
      <c r="H54" s="6">
        <v>0</v>
      </c>
      <c r="I54" s="7">
        <v>0</v>
      </c>
    </row>
    <row r="55" spans="1:9" x14ac:dyDescent="0.3">
      <c r="A55" s="5">
        <v>54</v>
      </c>
      <c r="B55" s="6" t="s">
        <v>152</v>
      </c>
      <c r="C55" s="6" t="s">
        <v>147</v>
      </c>
      <c r="D55" s="6" t="s">
        <v>144</v>
      </c>
      <c r="E55" s="6" t="s">
        <v>150</v>
      </c>
      <c r="F55" s="6" t="s">
        <v>145</v>
      </c>
      <c r="G55" s="6">
        <v>11</v>
      </c>
      <c r="H55" s="6">
        <v>0</v>
      </c>
      <c r="I55" s="7">
        <v>1</v>
      </c>
    </row>
    <row r="56" spans="1:9" x14ac:dyDescent="0.3">
      <c r="A56" s="5">
        <v>55</v>
      </c>
      <c r="B56" s="6" t="s">
        <v>152</v>
      </c>
      <c r="C56" s="6" t="s">
        <v>151</v>
      </c>
      <c r="D56" s="6" t="s">
        <v>148</v>
      </c>
      <c r="E56" s="6" t="s">
        <v>145</v>
      </c>
      <c r="F56" s="6" t="s">
        <v>150</v>
      </c>
      <c r="G56" s="6">
        <v>9</v>
      </c>
      <c r="H56" s="6">
        <v>0</v>
      </c>
      <c r="I56" s="7">
        <v>0</v>
      </c>
    </row>
    <row r="57" spans="1:9" x14ac:dyDescent="0.3">
      <c r="A57" s="5">
        <v>56</v>
      </c>
      <c r="B57" s="6" t="s">
        <v>146</v>
      </c>
      <c r="C57" s="6" t="s">
        <v>151</v>
      </c>
      <c r="D57" s="6" t="s">
        <v>144</v>
      </c>
      <c r="E57" s="6" t="s">
        <v>145</v>
      </c>
      <c r="F57" s="6" t="s">
        <v>145</v>
      </c>
      <c r="G57" s="6">
        <v>6</v>
      </c>
      <c r="H57" s="6">
        <v>0</v>
      </c>
      <c r="I57" s="7">
        <v>0</v>
      </c>
    </row>
    <row r="58" spans="1:9" x14ac:dyDescent="0.3">
      <c r="A58" s="5">
        <v>57</v>
      </c>
      <c r="B58" s="6" t="s">
        <v>154</v>
      </c>
      <c r="C58" s="6" t="s">
        <v>143</v>
      </c>
      <c r="D58" s="6" t="s">
        <v>148</v>
      </c>
      <c r="E58" s="6" t="s">
        <v>145</v>
      </c>
      <c r="F58" s="6" t="s">
        <v>145</v>
      </c>
      <c r="G58" s="6">
        <v>9</v>
      </c>
      <c r="H58" s="6">
        <v>0</v>
      </c>
      <c r="I58" s="7">
        <v>0</v>
      </c>
    </row>
    <row r="59" spans="1:9" x14ac:dyDescent="0.3">
      <c r="A59" s="5">
        <v>58</v>
      </c>
      <c r="B59" s="6" t="s">
        <v>142</v>
      </c>
      <c r="C59" s="6" t="s">
        <v>153</v>
      </c>
      <c r="D59" s="6" t="s">
        <v>144</v>
      </c>
      <c r="E59" s="6" t="s">
        <v>145</v>
      </c>
      <c r="F59" s="6" t="s">
        <v>150</v>
      </c>
      <c r="G59" s="6">
        <v>10</v>
      </c>
      <c r="H59" s="6">
        <v>0</v>
      </c>
      <c r="I59" s="7">
        <v>0</v>
      </c>
    </row>
    <row r="60" spans="1:9" x14ac:dyDescent="0.3">
      <c r="A60" s="5">
        <v>59</v>
      </c>
      <c r="B60" s="6" t="s">
        <v>146</v>
      </c>
      <c r="C60" s="6" t="s">
        <v>151</v>
      </c>
      <c r="D60" s="6" t="s">
        <v>148</v>
      </c>
      <c r="E60" s="6" t="s">
        <v>145</v>
      </c>
      <c r="F60" s="6" t="s">
        <v>145</v>
      </c>
      <c r="G60" s="6">
        <v>8</v>
      </c>
      <c r="H60" s="6">
        <v>0</v>
      </c>
      <c r="I60" s="7">
        <v>0</v>
      </c>
    </row>
    <row r="61" spans="1:9" x14ac:dyDescent="0.3">
      <c r="A61" s="5">
        <v>60</v>
      </c>
      <c r="B61" s="6" t="s">
        <v>154</v>
      </c>
      <c r="C61" s="6" t="s">
        <v>153</v>
      </c>
      <c r="D61" s="6" t="s">
        <v>149</v>
      </c>
      <c r="E61" s="6" t="s">
        <v>145</v>
      </c>
      <c r="F61" s="6" t="s">
        <v>145</v>
      </c>
      <c r="G61" s="6">
        <v>6</v>
      </c>
      <c r="H61" s="6">
        <v>1</v>
      </c>
      <c r="I61" s="7">
        <v>0</v>
      </c>
    </row>
    <row r="62" spans="1:9" x14ac:dyDescent="0.3">
      <c r="A62" s="5">
        <v>61</v>
      </c>
      <c r="B62" s="6" t="s">
        <v>154</v>
      </c>
      <c r="C62" s="6" t="s">
        <v>147</v>
      </c>
      <c r="D62" s="6" t="s">
        <v>144</v>
      </c>
      <c r="E62" s="6" t="s">
        <v>145</v>
      </c>
      <c r="F62" s="6" t="s">
        <v>145</v>
      </c>
      <c r="G62" s="6">
        <v>11</v>
      </c>
      <c r="H62" s="6">
        <v>0</v>
      </c>
      <c r="I62" s="7">
        <v>0</v>
      </c>
    </row>
    <row r="63" spans="1:9" x14ac:dyDescent="0.3">
      <c r="A63" s="5">
        <v>62</v>
      </c>
      <c r="B63" s="6" t="s">
        <v>152</v>
      </c>
      <c r="C63" s="6" t="s">
        <v>147</v>
      </c>
      <c r="D63" s="6" t="s">
        <v>148</v>
      </c>
      <c r="E63" s="6" t="s">
        <v>145</v>
      </c>
      <c r="F63" s="6" t="s">
        <v>150</v>
      </c>
      <c r="G63" s="6">
        <v>3</v>
      </c>
      <c r="H63" s="6">
        <v>0</v>
      </c>
      <c r="I63" s="7">
        <v>0</v>
      </c>
    </row>
    <row r="64" spans="1:9" x14ac:dyDescent="0.3">
      <c r="A64" s="5">
        <v>63</v>
      </c>
      <c r="B64" s="6" t="s">
        <v>146</v>
      </c>
      <c r="C64" s="6" t="s">
        <v>153</v>
      </c>
      <c r="D64" s="6" t="s">
        <v>144</v>
      </c>
      <c r="E64" s="6" t="s">
        <v>145</v>
      </c>
      <c r="F64" s="6" t="s">
        <v>145</v>
      </c>
      <c r="G64" s="6">
        <v>9</v>
      </c>
      <c r="H64" s="6">
        <v>0</v>
      </c>
      <c r="I64" s="7">
        <v>0</v>
      </c>
    </row>
    <row r="65" spans="1:9" x14ac:dyDescent="0.3">
      <c r="A65" s="5">
        <v>64</v>
      </c>
      <c r="B65" s="6" t="s">
        <v>154</v>
      </c>
      <c r="C65" s="6" t="s">
        <v>143</v>
      </c>
      <c r="D65" s="6" t="s">
        <v>149</v>
      </c>
      <c r="E65" s="6" t="s">
        <v>150</v>
      </c>
      <c r="F65" s="6" t="s">
        <v>145</v>
      </c>
      <c r="G65" s="6">
        <v>11</v>
      </c>
      <c r="H65" s="6">
        <v>0</v>
      </c>
      <c r="I65" s="7">
        <v>0</v>
      </c>
    </row>
    <row r="66" spans="1:9" x14ac:dyDescent="0.3">
      <c r="A66" s="5">
        <v>65</v>
      </c>
      <c r="B66" s="6" t="s">
        <v>146</v>
      </c>
      <c r="C66" s="6" t="s">
        <v>151</v>
      </c>
      <c r="D66" s="6" t="s">
        <v>144</v>
      </c>
      <c r="E66" s="6" t="s">
        <v>145</v>
      </c>
      <c r="F66" s="6" t="s">
        <v>145</v>
      </c>
      <c r="G66" s="6">
        <v>6</v>
      </c>
      <c r="H66" s="6">
        <v>1</v>
      </c>
      <c r="I66" s="7">
        <v>0</v>
      </c>
    </row>
    <row r="67" spans="1:9" x14ac:dyDescent="0.3">
      <c r="A67" s="5">
        <v>66</v>
      </c>
      <c r="B67" s="6" t="s">
        <v>146</v>
      </c>
      <c r="C67" s="6" t="s">
        <v>153</v>
      </c>
      <c r="D67" s="6" t="s">
        <v>144</v>
      </c>
      <c r="E67" s="6" t="s">
        <v>150</v>
      </c>
      <c r="F67" s="6" t="s">
        <v>145</v>
      </c>
      <c r="G67" s="6">
        <v>6</v>
      </c>
      <c r="H67" s="6">
        <v>0</v>
      </c>
      <c r="I67" s="7">
        <v>0</v>
      </c>
    </row>
    <row r="68" spans="1:9" x14ac:dyDescent="0.3">
      <c r="A68" s="5">
        <v>67</v>
      </c>
      <c r="B68" s="6" t="s">
        <v>146</v>
      </c>
      <c r="C68" s="6" t="s">
        <v>147</v>
      </c>
      <c r="D68" s="6" t="s">
        <v>149</v>
      </c>
      <c r="E68" s="6" t="s">
        <v>145</v>
      </c>
      <c r="F68" s="6" t="s">
        <v>145</v>
      </c>
      <c r="G68" s="6">
        <v>6</v>
      </c>
      <c r="H68" s="6">
        <v>0</v>
      </c>
      <c r="I68" s="7">
        <v>0</v>
      </c>
    </row>
    <row r="69" spans="1:9" x14ac:dyDescent="0.3">
      <c r="A69" s="5">
        <v>68</v>
      </c>
      <c r="B69" s="6" t="s">
        <v>154</v>
      </c>
      <c r="C69" s="6" t="s">
        <v>147</v>
      </c>
      <c r="D69" s="6" t="s">
        <v>144</v>
      </c>
      <c r="E69" s="6" t="s">
        <v>145</v>
      </c>
      <c r="F69" s="6" t="s">
        <v>145</v>
      </c>
      <c r="G69" s="6">
        <v>9</v>
      </c>
      <c r="H69" s="6">
        <v>0</v>
      </c>
      <c r="I69" s="7">
        <v>1</v>
      </c>
    </row>
    <row r="70" spans="1:9" x14ac:dyDescent="0.3">
      <c r="A70" s="5">
        <v>69</v>
      </c>
      <c r="B70" s="6" t="s">
        <v>142</v>
      </c>
      <c r="C70" s="6" t="s">
        <v>143</v>
      </c>
      <c r="D70" s="6" t="s">
        <v>148</v>
      </c>
      <c r="E70" s="6" t="s">
        <v>145</v>
      </c>
      <c r="F70" s="6" t="s">
        <v>145</v>
      </c>
      <c r="G70" s="6">
        <v>10</v>
      </c>
      <c r="H70" s="6">
        <v>0</v>
      </c>
      <c r="I70" s="7">
        <v>0</v>
      </c>
    </row>
    <row r="71" spans="1:9" x14ac:dyDescent="0.3">
      <c r="A71" s="5">
        <v>70</v>
      </c>
      <c r="B71" s="6" t="s">
        <v>142</v>
      </c>
      <c r="C71" s="6" t="s">
        <v>147</v>
      </c>
      <c r="D71" s="6" t="s">
        <v>148</v>
      </c>
      <c r="E71" s="6" t="s">
        <v>145</v>
      </c>
      <c r="F71" s="6" t="s">
        <v>145</v>
      </c>
      <c r="G71" s="6">
        <v>7</v>
      </c>
      <c r="H71" s="6">
        <v>0</v>
      </c>
      <c r="I71" s="7">
        <v>0</v>
      </c>
    </row>
    <row r="72" spans="1:9" x14ac:dyDescent="0.3">
      <c r="A72" s="5">
        <v>71</v>
      </c>
      <c r="B72" s="6" t="s">
        <v>146</v>
      </c>
      <c r="C72" s="6" t="s">
        <v>147</v>
      </c>
      <c r="D72" s="6" t="s">
        <v>148</v>
      </c>
      <c r="E72" s="6" t="s">
        <v>145</v>
      </c>
      <c r="F72" s="6" t="s">
        <v>145</v>
      </c>
      <c r="G72" s="6">
        <v>7</v>
      </c>
      <c r="H72" s="6">
        <v>0</v>
      </c>
      <c r="I72" s="7">
        <v>0</v>
      </c>
    </row>
    <row r="73" spans="1:9" x14ac:dyDescent="0.3">
      <c r="A73" s="5">
        <v>72</v>
      </c>
      <c r="B73" s="6" t="s">
        <v>146</v>
      </c>
      <c r="C73" s="6" t="s">
        <v>143</v>
      </c>
      <c r="D73" s="6" t="s">
        <v>144</v>
      </c>
      <c r="E73" s="6" t="s">
        <v>145</v>
      </c>
      <c r="F73" s="6" t="s">
        <v>145</v>
      </c>
      <c r="G73" s="6">
        <v>11</v>
      </c>
      <c r="H73" s="6">
        <v>1</v>
      </c>
      <c r="I73" s="7">
        <v>0</v>
      </c>
    </row>
    <row r="74" spans="1:9" x14ac:dyDescent="0.3">
      <c r="A74" s="5">
        <v>73</v>
      </c>
      <c r="B74" s="6" t="s">
        <v>146</v>
      </c>
      <c r="C74" s="6" t="s">
        <v>153</v>
      </c>
      <c r="D74" s="6" t="s">
        <v>144</v>
      </c>
      <c r="E74" s="6" t="s">
        <v>150</v>
      </c>
      <c r="F74" s="6" t="s">
        <v>145</v>
      </c>
      <c r="G74" s="6">
        <v>6</v>
      </c>
      <c r="H74" s="6">
        <v>0</v>
      </c>
      <c r="I74" s="7">
        <v>0</v>
      </c>
    </row>
    <row r="75" spans="1:9" x14ac:dyDescent="0.3">
      <c r="A75" s="5">
        <v>74</v>
      </c>
      <c r="B75" s="6" t="s">
        <v>152</v>
      </c>
      <c r="C75" s="6" t="s">
        <v>143</v>
      </c>
      <c r="D75" s="6" t="s">
        <v>144</v>
      </c>
      <c r="E75" s="6" t="s">
        <v>145</v>
      </c>
      <c r="F75" s="6" t="s">
        <v>150</v>
      </c>
      <c r="G75" s="6">
        <v>10</v>
      </c>
      <c r="H75" s="6">
        <v>0</v>
      </c>
      <c r="I75" s="7">
        <v>0</v>
      </c>
    </row>
    <row r="76" spans="1:9" x14ac:dyDescent="0.3">
      <c r="A76" s="5">
        <v>75</v>
      </c>
      <c r="B76" s="6" t="s">
        <v>146</v>
      </c>
      <c r="C76" s="6" t="s">
        <v>151</v>
      </c>
      <c r="D76" s="6" t="s">
        <v>144</v>
      </c>
      <c r="E76" s="6" t="s">
        <v>145</v>
      </c>
      <c r="F76" s="6" t="s">
        <v>145</v>
      </c>
      <c r="G76" s="6">
        <v>7</v>
      </c>
      <c r="H76" s="6">
        <v>0</v>
      </c>
      <c r="I76" s="7">
        <v>0</v>
      </c>
    </row>
    <row r="77" spans="1:9" x14ac:dyDescent="0.3">
      <c r="A77" s="5">
        <v>76</v>
      </c>
      <c r="B77" s="6" t="s">
        <v>142</v>
      </c>
      <c r="C77" s="6" t="s">
        <v>143</v>
      </c>
      <c r="D77" s="6" t="s">
        <v>144</v>
      </c>
      <c r="E77" s="6" t="s">
        <v>145</v>
      </c>
      <c r="F77" s="6" t="s">
        <v>145</v>
      </c>
      <c r="G77" s="6">
        <v>12</v>
      </c>
      <c r="H77" s="6">
        <v>0</v>
      </c>
      <c r="I77" s="7">
        <v>0</v>
      </c>
    </row>
    <row r="78" spans="1:9" x14ac:dyDescent="0.3">
      <c r="A78" s="5">
        <v>77</v>
      </c>
      <c r="B78" s="6" t="s">
        <v>146</v>
      </c>
      <c r="C78" s="6" t="s">
        <v>143</v>
      </c>
      <c r="D78" s="6" t="s">
        <v>144</v>
      </c>
      <c r="E78" s="6" t="s">
        <v>145</v>
      </c>
      <c r="F78" s="6" t="s">
        <v>145</v>
      </c>
      <c r="G78" s="6">
        <v>10</v>
      </c>
      <c r="H78" s="6">
        <v>0</v>
      </c>
      <c r="I78" s="7">
        <v>0</v>
      </c>
    </row>
    <row r="79" spans="1:9" x14ac:dyDescent="0.3">
      <c r="A79" s="5">
        <v>78</v>
      </c>
      <c r="B79" s="6" t="s">
        <v>152</v>
      </c>
      <c r="C79" s="6" t="s">
        <v>143</v>
      </c>
      <c r="D79" s="6" t="s">
        <v>148</v>
      </c>
      <c r="E79" s="6" t="s">
        <v>145</v>
      </c>
      <c r="F79" s="6" t="s">
        <v>145</v>
      </c>
      <c r="G79" s="6">
        <v>3</v>
      </c>
      <c r="H79" s="6">
        <v>0</v>
      </c>
      <c r="I79" s="7">
        <v>0</v>
      </c>
    </row>
    <row r="80" spans="1:9" x14ac:dyDescent="0.3">
      <c r="A80" s="5">
        <v>79</v>
      </c>
      <c r="B80" s="6" t="s">
        <v>142</v>
      </c>
      <c r="C80" s="6" t="s">
        <v>147</v>
      </c>
      <c r="D80" s="6" t="s">
        <v>148</v>
      </c>
      <c r="E80" s="6" t="s">
        <v>145</v>
      </c>
      <c r="F80" s="6" t="s">
        <v>150</v>
      </c>
      <c r="G80" s="6">
        <v>10</v>
      </c>
      <c r="H80" s="6">
        <v>1</v>
      </c>
      <c r="I80" s="7">
        <v>0</v>
      </c>
    </row>
    <row r="81" spans="1:9" x14ac:dyDescent="0.3">
      <c r="A81" s="5">
        <v>80</v>
      </c>
      <c r="B81" s="6" t="s">
        <v>154</v>
      </c>
      <c r="C81" s="6" t="s">
        <v>147</v>
      </c>
      <c r="D81" s="6" t="s">
        <v>144</v>
      </c>
      <c r="E81" s="6" t="s">
        <v>145</v>
      </c>
      <c r="F81" s="6" t="s">
        <v>145</v>
      </c>
      <c r="G81" s="6">
        <v>12</v>
      </c>
      <c r="H81" s="6">
        <v>0</v>
      </c>
      <c r="I81" s="7">
        <v>0</v>
      </c>
    </row>
    <row r="82" spans="1:9" x14ac:dyDescent="0.3">
      <c r="A82" s="5">
        <v>81</v>
      </c>
      <c r="B82" s="6" t="s">
        <v>146</v>
      </c>
      <c r="C82" s="6" t="s">
        <v>147</v>
      </c>
      <c r="D82" s="6" t="s">
        <v>149</v>
      </c>
      <c r="E82" s="6" t="s">
        <v>145</v>
      </c>
      <c r="F82" s="6" t="s">
        <v>145</v>
      </c>
      <c r="G82" s="6">
        <v>6</v>
      </c>
      <c r="H82" s="6">
        <v>0</v>
      </c>
      <c r="I82" s="7">
        <v>0</v>
      </c>
    </row>
    <row r="83" spans="1:9" x14ac:dyDescent="0.3">
      <c r="A83" s="5">
        <v>82</v>
      </c>
      <c r="B83" s="6" t="s">
        <v>146</v>
      </c>
      <c r="C83" s="6" t="s">
        <v>147</v>
      </c>
      <c r="D83" s="6" t="s">
        <v>144</v>
      </c>
      <c r="E83" s="6" t="s">
        <v>145</v>
      </c>
      <c r="F83" s="6" t="s">
        <v>150</v>
      </c>
      <c r="G83" s="6">
        <v>3</v>
      </c>
      <c r="H83" s="6">
        <v>0</v>
      </c>
      <c r="I83" s="7">
        <v>0</v>
      </c>
    </row>
    <row r="84" spans="1:9" x14ac:dyDescent="0.3">
      <c r="A84" s="5">
        <v>83</v>
      </c>
      <c r="B84" s="6" t="s">
        <v>142</v>
      </c>
      <c r="C84" s="6" t="s">
        <v>143</v>
      </c>
      <c r="D84" s="6" t="s">
        <v>144</v>
      </c>
      <c r="E84" s="6" t="s">
        <v>145</v>
      </c>
      <c r="F84" s="6" t="s">
        <v>150</v>
      </c>
      <c r="G84" s="6">
        <v>7</v>
      </c>
      <c r="H84" s="6">
        <v>0</v>
      </c>
      <c r="I84" s="7">
        <v>0</v>
      </c>
    </row>
    <row r="85" spans="1:9" x14ac:dyDescent="0.3">
      <c r="A85" s="5">
        <v>84</v>
      </c>
      <c r="B85" s="6" t="s">
        <v>146</v>
      </c>
      <c r="C85" s="6" t="s">
        <v>143</v>
      </c>
      <c r="D85" s="6" t="s">
        <v>148</v>
      </c>
      <c r="E85" s="6" t="s">
        <v>145</v>
      </c>
      <c r="F85" s="6" t="s">
        <v>145</v>
      </c>
      <c r="G85" s="6">
        <v>4</v>
      </c>
      <c r="H85" s="6">
        <v>1</v>
      </c>
      <c r="I85" s="7">
        <v>0</v>
      </c>
    </row>
    <row r="86" spans="1:9" x14ac:dyDescent="0.3">
      <c r="A86" s="5">
        <v>85</v>
      </c>
      <c r="B86" s="6" t="s">
        <v>146</v>
      </c>
      <c r="C86" s="6" t="s">
        <v>143</v>
      </c>
      <c r="D86" s="6" t="s">
        <v>149</v>
      </c>
      <c r="E86" s="6" t="s">
        <v>145</v>
      </c>
      <c r="F86" s="6" t="s">
        <v>145</v>
      </c>
      <c r="G86" s="6">
        <v>6</v>
      </c>
      <c r="H86" s="6">
        <v>0</v>
      </c>
      <c r="I86" s="7">
        <v>0</v>
      </c>
    </row>
    <row r="87" spans="1:9" x14ac:dyDescent="0.3">
      <c r="A87" s="5">
        <v>86</v>
      </c>
      <c r="B87" s="6" t="s">
        <v>146</v>
      </c>
      <c r="C87" s="6" t="s">
        <v>147</v>
      </c>
      <c r="D87" s="6" t="s">
        <v>148</v>
      </c>
      <c r="E87" s="6" t="s">
        <v>145</v>
      </c>
      <c r="F87" s="6" t="s">
        <v>145</v>
      </c>
      <c r="G87" s="6">
        <v>7</v>
      </c>
      <c r="H87" s="6">
        <v>0</v>
      </c>
      <c r="I87" s="7">
        <v>0</v>
      </c>
    </row>
    <row r="88" spans="1:9" x14ac:dyDescent="0.3">
      <c r="A88" s="5">
        <v>87</v>
      </c>
      <c r="B88" s="6" t="s">
        <v>146</v>
      </c>
      <c r="C88" s="6" t="s">
        <v>147</v>
      </c>
      <c r="D88" s="6" t="s">
        <v>148</v>
      </c>
      <c r="E88" s="6" t="s">
        <v>145</v>
      </c>
      <c r="F88" s="6" t="s">
        <v>150</v>
      </c>
      <c r="G88" s="6">
        <v>11</v>
      </c>
      <c r="H88" s="6">
        <v>0</v>
      </c>
      <c r="I88" s="7">
        <v>0</v>
      </c>
    </row>
    <row r="89" spans="1:9" x14ac:dyDescent="0.3">
      <c r="A89" s="5">
        <v>88</v>
      </c>
      <c r="B89" s="6" t="s">
        <v>146</v>
      </c>
      <c r="C89" s="6" t="s">
        <v>153</v>
      </c>
      <c r="D89" s="6" t="s">
        <v>148</v>
      </c>
      <c r="E89" s="6" t="s">
        <v>145</v>
      </c>
      <c r="F89" s="6" t="s">
        <v>145</v>
      </c>
      <c r="G89" s="6">
        <v>10</v>
      </c>
      <c r="H89" s="6">
        <v>0</v>
      </c>
      <c r="I89" s="7">
        <v>0</v>
      </c>
    </row>
    <row r="90" spans="1:9" x14ac:dyDescent="0.3">
      <c r="A90" s="5">
        <v>89</v>
      </c>
      <c r="B90" s="6" t="s">
        <v>146</v>
      </c>
      <c r="C90" s="6" t="s">
        <v>143</v>
      </c>
      <c r="D90" s="6" t="s">
        <v>148</v>
      </c>
      <c r="E90" s="6" t="s">
        <v>145</v>
      </c>
      <c r="F90" s="6" t="s">
        <v>145</v>
      </c>
      <c r="G90" s="6">
        <v>7</v>
      </c>
      <c r="H90" s="6">
        <v>1</v>
      </c>
      <c r="I90" s="7">
        <v>0</v>
      </c>
    </row>
    <row r="91" spans="1:9" x14ac:dyDescent="0.3">
      <c r="A91" s="5">
        <v>90</v>
      </c>
      <c r="B91" s="6" t="s">
        <v>146</v>
      </c>
      <c r="C91" s="6" t="s">
        <v>153</v>
      </c>
      <c r="D91" s="6" t="s">
        <v>144</v>
      </c>
      <c r="E91" s="6" t="s">
        <v>145</v>
      </c>
      <c r="F91" s="6" t="s">
        <v>145</v>
      </c>
      <c r="G91" s="6">
        <v>8</v>
      </c>
      <c r="H91" s="6">
        <v>0</v>
      </c>
      <c r="I91" s="7">
        <v>0</v>
      </c>
    </row>
    <row r="92" spans="1:9" x14ac:dyDescent="0.3">
      <c r="A92" s="5">
        <v>91</v>
      </c>
      <c r="B92" s="6" t="s">
        <v>146</v>
      </c>
      <c r="C92" s="6" t="s">
        <v>143</v>
      </c>
      <c r="D92" s="6" t="s">
        <v>149</v>
      </c>
      <c r="E92" s="6" t="s">
        <v>150</v>
      </c>
      <c r="F92" s="6" t="s">
        <v>145</v>
      </c>
      <c r="G92" s="6">
        <v>4</v>
      </c>
      <c r="H92" s="6">
        <v>0</v>
      </c>
      <c r="I92" s="7">
        <v>0</v>
      </c>
    </row>
    <row r="93" spans="1:9" x14ac:dyDescent="0.3">
      <c r="A93" s="5">
        <v>92</v>
      </c>
      <c r="B93" s="6" t="s">
        <v>146</v>
      </c>
      <c r="C93" s="6" t="s">
        <v>147</v>
      </c>
      <c r="D93" s="6" t="s">
        <v>144</v>
      </c>
      <c r="E93" s="6" t="s">
        <v>145</v>
      </c>
      <c r="F93" s="6" t="s">
        <v>145</v>
      </c>
      <c r="G93" s="6">
        <v>11</v>
      </c>
      <c r="H93" s="6">
        <v>1</v>
      </c>
      <c r="I93" s="7">
        <v>0</v>
      </c>
    </row>
    <row r="94" spans="1:9" x14ac:dyDescent="0.3">
      <c r="A94" s="5">
        <v>93</v>
      </c>
      <c r="B94" s="6" t="s">
        <v>146</v>
      </c>
      <c r="C94" s="6" t="s">
        <v>143</v>
      </c>
      <c r="D94" s="6" t="s">
        <v>144</v>
      </c>
      <c r="E94" s="6" t="s">
        <v>150</v>
      </c>
      <c r="F94" s="6" t="s">
        <v>150</v>
      </c>
      <c r="G94" s="6">
        <v>10</v>
      </c>
      <c r="H94" s="6">
        <v>0</v>
      </c>
      <c r="I94" s="7">
        <v>0</v>
      </c>
    </row>
    <row r="95" spans="1:9" x14ac:dyDescent="0.3">
      <c r="A95" s="5">
        <v>94</v>
      </c>
      <c r="B95" s="6" t="s">
        <v>146</v>
      </c>
      <c r="C95" s="6" t="s">
        <v>143</v>
      </c>
      <c r="D95" s="6" t="s">
        <v>148</v>
      </c>
      <c r="E95" s="6" t="s">
        <v>150</v>
      </c>
      <c r="F95" s="6" t="s">
        <v>145</v>
      </c>
      <c r="G95" s="6">
        <v>5</v>
      </c>
      <c r="H95" s="6">
        <v>0</v>
      </c>
      <c r="I95" s="7">
        <v>0</v>
      </c>
    </row>
    <row r="96" spans="1:9" x14ac:dyDescent="0.3">
      <c r="A96" s="5">
        <v>95</v>
      </c>
      <c r="B96" s="6" t="s">
        <v>146</v>
      </c>
      <c r="C96" s="6" t="s">
        <v>147</v>
      </c>
      <c r="D96" s="6" t="s">
        <v>144</v>
      </c>
      <c r="E96" s="6" t="s">
        <v>145</v>
      </c>
      <c r="F96" s="6" t="s">
        <v>145</v>
      </c>
      <c r="G96" s="6">
        <v>9</v>
      </c>
      <c r="H96" s="6">
        <v>0</v>
      </c>
      <c r="I96" s="7">
        <v>0</v>
      </c>
    </row>
    <row r="97" spans="1:9" x14ac:dyDescent="0.3">
      <c r="A97" s="8">
        <v>96</v>
      </c>
      <c r="B97" s="9" t="s">
        <v>152</v>
      </c>
      <c r="C97" s="9" t="s">
        <v>143</v>
      </c>
      <c r="D97" s="9" t="s">
        <v>148</v>
      </c>
      <c r="E97" s="9" t="s">
        <v>145</v>
      </c>
      <c r="F97" s="9" t="s">
        <v>145</v>
      </c>
      <c r="G97" s="9">
        <v>12</v>
      </c>
      <c r="H97" s="9">
        <v>0</v>
      </c>
      <c r="I97" s="10">
        <v>0</v>
      </c>
    </row>
    <row r="98" spans="1:9" x14ac:dyDescent="0.3">
      <c r="A98" s="6"/>
      <c r="B98" s="6"/>
      <c r="C98" s="6"/>
      <c r="D98" s="6"/>
      <c r="E98" s="6"/>
      <c r="F98" s="6"/>
      <c r="G98" s="6"/>
      <c r="H98" s="6"/>
      <c r="I98" s="6">
        <f>SUM(I2:I97)</f>
        <v>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85CB9-B658-4F96-9AF9-E5E5D64BFAFD}">
  <dimension ref="A1:G97"/>
  <sheetViews>
    <sheetView workbookViewId="0">
      <selection activeCell="D18" sqref="D18"/>
    </sheetView>
  </sheetViews>
  <sheetFormatPr defaultRowHeight="14.4" x14ac:dyDescent="0.3"/>
  <cols>
    <col min="1" max="1" width="5.21875" customWidth="1"/>
    <col min="2" max="2" width="17.21875" customWidth="1"/>
    <col min="3" max="3" width="17.88671875" customWidth="1"/>
    <col min="4" max="4" width="26.77734375" customWidth="1"/>
    <col min="5" max="5" width="28.109375" customWidth="1"/>
    <col min="6" max="6" width="6.88671875" customWidth="1"/>
    <col min="7" max="7" width="21.33203125" customWidth="1"/>
  </cols>
  <sheetData>
    <row r="1" spans="1:7" ht="18" x14ac:dyDescent="0.35">
      <c r="A1" s="1" t="s">
        <v>0</v>
      </c>
      <c r="B1" s="2" t="s">
        <v>128</v>
      </c>
      <c r="C1" s="2" t="s">
        <v>129</v>
      </c>
      <c r="D1" s="2" t="s">
        <v>130</v>
      </c>
      <c r="E1" s="2" t="s">
        <v>131</v>
      </c>
      <c r="F1" s="2" t="s">
        <v>132</v>
      </c>
      <c r="G1" s="11" t="s">
        <v>133</v>
      </c>
    </row>
    <row r="2" spans="1:7" x14ac:dyDescent="0.3">
      <c r="A2" s="5">
        <v>1</v>
      </c>
      <c r="B2" s="6">
        <v>0</v>
      </c>
      <c r="C2" s="6">
        <v>0</v>
      </c>
      <c r="D2" s="6">
        <v>267.3</v>
      </c>
      <c r="E2" s="6">
        <v>267.3</v>
      </c>
      <c r="F2" s="6">
        <v>36.200000000000003</v>
      </c>
      <c r="G2" s="7">
        <v>88</v>
      </c>
    </row>
    <row r="3" spans="1:7" x14ac:dyDescent="0.3">
      <c r="A3" s="5">
        <v>2</v>
      </c>
      <c r="B3" s="6">
        <v>0</v>
      </c>
      <c r="C3" s="6">
        <v>0</v>
      </c>
      <c r="D3" s="6">
        <v>207.24</v>
      </c>
      <c r="E3" s="6">
        <v>207.24</v>
      </c>
      <c r="F3" s="6">
        <v>19.8</v>
      </c>
      <c r="G3" s="7">
        <v>56</v>
      </c>
    </row>
    <row r="4" spans="1:7" x14ac:dyDescent="0.3">
      <c r="A4" s="5">
        <v>3</v>
      </c>
      <c r="B4" s="6">
        <v>0</v>
      </c>
      <c r="C4" s="6">
        <v>0</v>
      </c>
      <c r="D4" s="6">
        <v>161.30000000000001</v>
      </c>
      <c r="E4" s="6">
        <v>161.30000000000001</v>
      </c>
      <c r="F4" s="6">
        <v>34.5</v>
      </c>
      <c r="G4" s="7">
        <v>63</v>
      </c>
    </row>
    <row r="5" spans="1:7" x14ac:dyDescent="0.3">
      <c r="A5" s="5">
        <v>4</v>
      </c>
      <c r="B5" s="6">
        <v>0</v>
      </c>
      <c r="C5" s="6">
        <v>0</v>
      </c>
      <c r="D5" s="6">
        <v>247.49</v>
      </c>
      <c r="E5" s="6">
        <v>247.49</v>
      </c>
      <c r="F5" s="6">
        <v>48.8</v>
      </c>
      <c r="G5" s="7">
        <v>93</v>
      </c>
    </row>
    <row r="6" spans="1:7" x14ac:dyDescent="0.3">
      <c r="A6" s="5">
        <v>5</v>
      </c>
      <c r="B6" s="6">
        <v>0</v>
      </c>
      <c r="C6" s="6">
        <v>0</v>
      </c>
      <c r="D6" s="6">
        <v>116.57</v>
      </c>
      <c r="E6" s="6">
        <v>116.57</v>
      </c>
      <c r="F6" s="6">
        <v>31.3</v>
      </c>
      <c r="G6" s="7">
        <v>99</v>
      </c>
    </row>
    <row r="7" spans="1:7" x14ac:dyDescent="0.3">
      <c r="A7" s="5">
        <v>6</v>
      </c>
      <c r="B7" s="6">
        <v>1</v>
      </c>
      <c r="C7" s="6">
        <v>0</v>
      </c>
      <c r="D7" s="6">
        <v>220.62</v>
      </c>
      <c r="E7" s="6">
        <v>220.62</v>
      </c>
      <c r="F7" s="6">
        <v>49.9</v>
      </c>
      <c r="G7" s="7">
        <v>56</v>
      </c>
    </row>
    <row r="8" spans="1:7" x14ac:dyDescent="0.3">
      <c r="A8" s="5">
        <v>7</v>
      </c>
      <c r="B8" s="6">
        <v>0</v>
      </c>
      <c r="C8" s="6">
        <v>0</v>
      </c>
      <c r="D8" s="6">
        <v>193.32</v>
      </c>
      <c r="E8" s="6">
        <v>193.32</v>
      </c>
      <c r="F8" s="6">
        <v>46.8</v>
      </c>
      <c r="G8" s="7">
        <v>87</v>
      </c>
    </row>
    <row r="9" spans="1:7" x14ac:dyDescent="0.3">
      <c r="A9" s="5">
        <v>8</v>
      </c>
      <c r="B9" s="6">
        <v>0</v>
      </c>
      <c r="C9" s="6">
        <v>0</v>
      </c>
      <c r="D9" s="6">
        <v>198.59</v>
      </c>
      <c r="E9" s="6">
        <v>198.59</v>
      </c>
      <c r="F9" s="6">
        <v>23.3</v>
      </c>
      <c r="G9" s="7">
        <v>5</v>
      </c>
    </row>
    <row r="10" spans="1:7" x14ac:dyDescent="0.3">
      <c r="A10" s="5">
        <v>9</v>
      </c>
      <c r="B10" s="6">
        <v>1</v>
      </c>
      <c r="C10" s="6">
        <v>0</v>
      </c>
      <c r="D10" s="6">
        <v>117.81</v>
      </c>
      <c r="E10" s="6">
        <v>117.81</v>
      </c>
      <c r="F10" s="6">
        <v>16.5</v>
      </c>
      <c r="G10" s="7">
        <v>98</v>
      </c>
    </row>
    <row r="11" spans="1:7" x14ac:dyDescent="0.3">
      <c r="A11" s="5">
        <v>10</v>
      </c>
      <c r="B11" s="6">
        <v>0</v>
      </c>
      <c r="C11" s="6">
        <v>0</v>
      </c>
      <c r="D11" s="6">
        <v>289.08999999999997</v>
      </c>
      <c r="E11" s="6">
        <v>289.08999999999997</v>
      </c>
      <c r="F11" s="6">
        <v>37</v>
      </c>
      <c r="G11" s="7">
        <v>94</v>
      </c>
    </row>
    <row r="12" spans="1:7" x14ac:dyDescent="0.3">
      <c r="A12" s="5">
        <v>11</v>
      </c>
      <c r="B12" s="6">
        <v>0</v>
      </c>
      <c r="C12" s="6">
        <v>0</v>
      </c>
      <c r="D12" s="6">
        <v>150.86000000000001</v>
      </c>
      <c r="E12" s="6">
        <v>150.86000000000001</v>
      </c>
      <c r="F12" s="6">
        <v>34.299999999999997</v>
      </c>
      <c r="G12" s="7">
        <v>31</v>
      </c>
    </row>
    <row r="13" spans="1:7" x14ac:dyDescent="0.3">
      <c r="A13" s="5">
        <v>12</v>
      </c>
      <c r="B13" s="6">
        <v>0</v>
      </c>
      <c r="C13" s="6">
        <v>0</v>
      </c>
      <c r="D13" s="6">
        <v>254.9</v>
      </c>
      <c r="E13" s="6">
        <v>254.9</v>
      </c>
      <c r="F13" s="6">
        <v>49.5</v>
      </c>
      <c r="G13" s="7">
        <v>30</v>
      </c>
    </row>
    <row r="14" spans="1:7" x14ac:dyDescent="0.3">
      <c r="A14" s="5">
        <v>13</v>
      </c>
      <c r="B14" s="6">
        <v>0</v>
      </c>
      <c r="C14" s="6">
        <v>0</v>
      </c>
      <c r="D14" s="6">
        <v>164.44</v>
      </c>
      <c r="E14" s="6">
        <v>164.44</v>
      </c>
      <c r="F14" s="6">
        <v>11.4</v>
      </c>
      <c r="G14" s="7">
        <v>72</v>
      </c>
    </row>
    <row r="15" spans="1:7" x14ac:dyDescent="0.3">
      <c r="A15" s="5">
        <v>14</v>
      </c>
      <c r="B15" s="6">
        <v>0</v>
      </c>
      <c r="C15" s="6">
        <v>0</v>
      </c>
      <c r="D15" s="6">
        <v>142.49</v>
      </c>
      <c r="E15" s="6">
        <v>142.49</v>
      </c>
      <c r="F15" s="6">
        <v>15.2</v>
      </c>
      <c r="G15" s="7">
        <v>67</v>
      </c>
    </row>
    <row r="16" spans="1:7" x14ac:dyDescent="0.3">
      <c r="A16" s="5">
        <v>15</v>
      </c>
      <c r="B16" s="6">
        <v>0</v>
      </c>
      <c r="C16" s="6">
        <v>0</v>
      </c>
      <c r="D16" s="6">
        <v>218.1</v>
      </c>
      <c r="E16" s="6">
        <v>218.1</v>
      </c>
      <c r="F16" s="6">
        <v>36.5</v>
      </c>
      <c r="G16" s="7">
        <v>19</v>
      </c>
    </row>
    <row r="17" spans="1:7" x14ac:dyDescent="0.3">
      <c r="A17" s="5">
        <v>16</v>
      </c>
      <c r="B17" s="6">
        <v>0</v>
      </c>
      <c r="C17" s="6">
        <v>0</v>
      </c>
      <c r="D17" s="6">
        <v>245.06</v>
      </c>
      <c r="E17" s="6">
        <v>245.06</v>
      </c>
      <c r="F17" s="6">
        <v>10.9</v>
      </c>
      <c r="G17" s="7">
        <v>8</v>
      </c>
    </row>
    <row r="18" spans="1:7" x14ac:dyDescent="0.3">
      <c r="A18" s="5">
        <v>17</v>
      </c>
      <c r="B18" s="6">
        <v>0</v>
      </c>
      <c r="C18" s="6">
        <v>1</v>
      </c>
      <c r="D18" s="6">
        <v>266.20999999999998</v>
      </c>
      <c r="E18" s="6">
        <v>266.20999999999998</v>
      </c>
      <c r="F18" s="6">
        <v>18.899999999999999</v>
      </c>
      <c r="G18" s="7">
        <v>53</v>
      </c>
    </row>
    <row r="19" spans="1:7" x14ac:dyDescent="0.3">
      <c r="A19" s="5">
        <v>18</v>
      </c>
      <c r="B19" s="6">
        <v>0</v>
      </c>
      <c r="C19" s="6">
        <v>0</v>
      </c>
      <c r="D19" s="6">
        <v>221.45</v>
      </c>
      <c r="E19" s="6">
        <v>221.45</v>
      </c>
      <c r="F19" s="6">
        <v>34.5</v>
      </c>
      <c r="G19" s="7">
        <v>63</v>
      </c>
    </row>
    <row r="20" spans="1:7" x14ac:dyDescent="0.3">
      <c r="A20" s="5">
        <v>19</v>
      </c>
      <c r="B20" s="6">
        <v>0</v>
      </c>
      <c r="C20" s="6">
        <v>0</v>
      </c>
      <c r="D20" s="6">
        <v>131.46</v>
      </c>
      <c r="E20" s="6">
        <v>131.46</v>
      </c>
      <c r="F20" s="6">
        <v>24</v>
      </c>
      <c r="G20" s="7">
        <v>100</v>
      </c>
    </row>
    <row r="21" spans="1:7" x14ac:dyDescent="0.3">
      <c r="A21" s="5">
        <v>20</v>
      </c>
      <c r="B21" s="6">
        <v>0</v>
      </c>
      <c r="C21" s="6">
        <v>0</v>
      </c>
      <c r="D21" s="6">
        <v>275.52</v>
      </c>
      <c r="E21" s="6">
        <v>275.52</v>
      </c>
      <c r="F21" s="6">
        <v>26.6</v>
      </c>
      <c r="G21" s="7">
        <v>10</v>
      </c>
    </row>
    <row r="22" spans="1:7" x14ac:dyDescent="0.3">
      <c r="A22" s="5">
        <v>21</v>
      </c>
      <c r="B22" s="6">
        <v>0</v>
      </c>
      <c r="C22" s="6">
        <v>0</v>
      </c>
      <c r="D22" s="6">
        <v>81.77</v>
      </c>
      <c r="E22" s="6">
        <v>81.77</v>
      </c>
      <c r="F22" s="6">
        <v>12.6</v>
      </c>
      <c r="G22" s="7">
        <v>95</v>
      </c>
    </row>
    <row r="23" spans="1:7" x14ac:dyDescent="0.3">
      <c r="A23" s="5">
        <v>22</v>
      </c>
      <c r="B23" s="6">
        <v>0</v>
      </c>
      <c r="C23" s="6">
        <v>0</v>
      </c>
      <c r="D23" s="6">
        <v>150.87</v>
      </c>
      <c r="E23" s="6">
        <v>150.87</v>
      </c>
      <c r="F23" s="6">
        <v>24.1</v>
      </c>
      <c r="G23" s="7">
        <v>31</v>
      </c>
    </row>
    <row r="24" spans="1:7" x14ac:dyDescent="0.3">
      <c r="A24" s="5">
        <v>23</v>
      </c>
      <c r="B24" s="6">
        <v>0</v>
      </c>
      <c r="C24" s="6">
        <v>0</v>
      </c>
      <c r="D24" s="6">
        <v>244.7</v>
      </c>
      <c r="E24" s="6">
        <v>244.7</v>
      </c>
      <c r="F24" s="6">
        <v>32.799999999999997</v>
      </c>
      <c r="G24" s="7">
        <v>65</v>
      </c>
    </row>
    <row r="25" spans="1:7" x14ac:dyDescent="0.3">
      <c r="A25" s="5">
        <v>24</v>
      </c>
      <c r="B25" s="6">
        <v>0</v>
      </c>
      <c r="C25" s="6">
        <v>0</v>
      </c>
      <c r="D25" s="6">
        <v>214.01</v>
      </c>
      <c r="E25" s="6">
        <v>214.01</v>
      </c>
      <c r="F25" s="6">
        <v>17.2</v>
      </c>
      <c r="G25" s="7">
        <v>16</v>
      </c>
    </row>
    <row r="26" spans="1:7" x14ac:dyDescent="0.3">
      <c r="A26" s="5">
        <v>25</v>
      </c>
      <c r="B26" s="6">
        <v>0</v>
      </c>
      <c r="C26" s="6">
        <v>0</v>
      </c>
      <c r="D26" s="6">
        <v>157.5</v>
      </c>
      <c r="E26" s="6">
        <v>157.5</v>
      </c>
      <c r="F26" s="6">
        <v>48.9</v>
      </c>
      <c r="G26" s="7">
        <v>77</v>
      </c>
    </row>
    <row r="27" spans="1:7" x14ac:dyDescent="0.3">
      <c r="A27" s="5">
        <v>26</v>
      </c>
      <c r="B27" s="6">
        <v>0</v>
      </c>
      <c r="C27" s="6">
        <v>0</v>
      </c>
      <c r="D27" s="6">
        <v>288.63</v>
      </c>
      <c r="E27" s="6">
        <v>288.63</v>
      </c>
      <c r="F27" s="6">
        <v>45.3</v>
      </c>
      <c r="G27" s="7">
        <v>77</v>
      </c>
    </row>
    <row r="28" spans="1:7" x14ac:dyDescent="0.3">
      <c r="A28" s="5">
        <v>27</v>
      </c>
      <c r="B28" s="6">
        <v>1</v>
      </c>
      <c r="C28" s="6">
        <v>0</v>
      </c>
      <c r="D28" s="6">
        <v>177.89</v>
      </c>
      <c r="E28" s="6">
        <v>177.89</v>
      </c>
      <c r="F28" s="6">
        <v>32.5</v>
      </c>
      <c r="G28" s="7">
        <v>18</v>
      </c>
    </row>
    <row r="29" spans="1:7" x14ac:dyDescent="0.3">
      <c r="A29" s="5">
        <v>28</v>
      </c>
      <c r="B29" s="6">
        <v>0</v>
      </c>
      <c r="C29" s="6">
        <v>0</v>
      </c>
      <c r="D29" s="6">
        <v>169.66</v>
      </c>
      <c r="E29" s="6">
        <v>169.66</v>
      </c>
      <c r="F29" s="6">
        <v>10</v>
      </c>
      <c r="G29" s="7">
        <v>88</v>
      </c>
    </row>
    <row r="30" spans="1:7" x14ac:dyDescent="0.3">
      <c r="A30" s="5">
        <v>29</v>
      </c>
      <c r="B30" s="6">
        <v>0</v>
      </c>
      <c r="C30" s="6">
        <v>0</v>
      </c>
      <c r="D30" s="6">
        <v>84.55</v>
      </c>
      <c r="E30" s="6">
        <v>84.55</v>
      </c>
      <c r="F30" s="6">
        <v>18.2</v>
      </c>
      <c r="G30" s="7">
        <v>21</v>
      </c>
    </row>
    <row r="31" spans="1:7" x14ac:dyDescent="0.3">
      <c r="A31" s="5">
        <v>30</v>
      </c>
      <c r="B31" s="6">
        <v>0</v>
      </c>
      <c r="C31" s="6">
        <v>0</v>
      </c>
      <c r="D31" s="6">
        <v>132.46</v>
      </c>
      <c r="E31" s="6">
        <v>132.46</v>
      </c>
      <c r="F31" s="6">
        <v>10.6</v>
      </c>
      <c r="G31" s="7">
        <v>44</v>
      </c>
    </row>
    <row r="32" spans="1:7" x14ac:dyDescent="0.3">
      <c r="A32" s="5">
        <v>31</v>
      </c>
      <c r="B32" s="6">
        <v>0</v>
      </c>
      <c r="C32" s="6">
        <v>0</v>
      </c>
      <c r="D32" s="6">
        <v>171.52</v>
      </c>
      <c r="E32" s="6">
        <v>171.52</v>
      </c>
      <c r="F32" s="6">
        <v>44.3</v>
      </c>
      <c r="G32" s="7">
        <v>100</v>
      </c>
    </row>
    <row r="33" spans="1:7" x14ac:dyDescent="0.3">
      <c r="A33" s="5">
        <v>32</v>
      </c>
      <c r="B33" s="6">
        <v>1</v>
      </c>
      <c r="C33" s="6">
        <v>0</v>
      </c>
      <c r="D33" s="6">
        <v>233.23</v>
      </c>
      <c r="E33" s="6">
        <v>233.23</v>
      </c>
      <c r="F33" s="6">
        <v>34.700000000000003</v>
      </c>
      <c r="G33" s="7">
        <v>28</v>
      </c>
    </row>
    <row r="34" spans="1:7" x14ac:dyDescent="0.3">
      <c r="A34" s="5">
        <v>33</v>
      </c>
      <c r="B34" s="6">
        <v>0</v>
      </c>
      <c r="C34" s="6">
        <v>0</v>
      </c>
      <c r="D34" s="6">
        <v>79.48</v>
      </c>
      <c r="E34" s="6">
        <v>79.48</v>
      </c>
      <c r="F34" s="6">
        <v>30.2</v>
      </c>
      <c r="G34" s="7">
        <v>3</v>
      </c>
    </row>
    <row r="35" spans="1:7" x14ac:dyDescent="0.3">
      <c r="A35" s="5">
        <v>34</v>
      </c>
      <c r="B35" s="6">
        <v>0</v>
      </c>
      <c r="C35" s="6">
        <v>0</v>
      </c>
      <c r="D35" s="6">
        <v>247.96</v>
      </c>
      <c r="E35" s="6">
        <v>247.96</v>
      </c>
      <c r="F35" s="6">
        <v>44.8</v>
      </c>
      <c r="G35" s="7">
        <v>78</v>
      </c>
    </row>
    <row r="36" spans="1:7" x14ac:dyDescent="0.3">
      <c r="A36" s="5">
        <v>35</v>
      </c>
      <c r="B36" s="6">
        <v>0</v>
      </c>
      <c r="C36" s="6">
        <v>0</v>
      </c>
      <c r="D36" s="6">
        <v>176.44</v>
      </c>
      <c r="E36" s="6">
        <v>176.44</v>
      </c>
      <c r="F36" s="6">
        <v>27.3</v>
      </c>
      <c r="G36" s="7">
        <v>45</v>
      </c>
    </row>
    <row r="37" spans="1:7" x14ac:dyDescent="0.3">
      <c r="A37" s="5">
        <v>36</v>
      </c>
      <c r="B37" s="6">
        <v>0</v>
      </c>
      <c r="C37" s="6">
        <v>0</v>
      </c>
      <c r="D37" s="6">
        <v>197.62</v>
      </c>
      <c r="E37" s="6">
        <v>197.62</v>
      </c>
      <c r="F37" s="6">
        <v>20.6</v>
      </c>
      <c r="G37" s="7">
        <v>89</v>
      </c>
    </row>
    <row r="38" spans="1:7" x14ac:dyDescent="0.3">
      <c r="A38" s="5">
        <v>37</v>
      </c>
      <c r="B38" s="6">
        <v>1</v>
      </c>
      <c r="C38" s="6">
        <v>0</v>
      </c>
      <c r="D38" s="6">
        <v>144.25</v>
      </c>
      <c r="E38" s="6">
        <v>144.25</v>
      </c>
      <c r="F38" s="6">
        <v>38</v>
      </c>
      <c r="G38" s="7">
        <v>14</v>
      </c>
    </row>
    <row r="39" spans="1:7" x14ac:dyDescent="0.3">
      <c r="A39" s="5">
        <v>38</v>
      </c>
      <c r="B39" s="6">
        <v>0</v>
      </c>
      <c r="C39" s="6">
        <v>0</v>
      </c>
      <c r="D39" s="6">
        <v>233.95</v>
      </c>
      <c r="E39" s="6">
        <v>233.95</v>
      </c>
      <c r="F39" s="6">
        <v>45.1</v>
      </c>
      <c r="G39" s="7">
        <v>12</v>
      </c>
    </row>
    <row r="40" spans="1:7" x14ac:dyDescent="0.3">
      <c r="A40" s="5">
        <v>39</v>
      </c>
      <c r="B40" s="6">
        <v>1</v>
      </c>
      <c r="C40" s="6">
        <v>0</v>
      </c>
      <c r="D40" s="6">
        <v>230.23</v>
      </c>
      <c r="E40" s="6">
        <v>230.23</v>
      </c>
      <c r="F40" s="6">
        <v>33.1</v>
      </c>
      <c r="G40" s="7">
        <v>100</v>
      </c>
    </row>
    <row r="41" spans="1:7" x14ac:dyDescent="0.3">
      <c r="A41" s="5">
        <v>40</v>
      </c>
      <c r="B41" s="6">
        <v>1</v>
      </c>
      <c r="C41" s="6">
        <v>0</v>
      </c>
      <c r="D41" s="6">
        <v>297.68</v>
      </c>
      <c r="E41" s="6">
        <v>297.68</v>
      </c>
      <c r="F41" s="6">
        <v>39.1</v>
      </c>
      <c r="G41" s="7">
        <v>30</v>
      </c>
    </row>
    <row r="42" spans="1:7" x14ac:dyDescent="0.3">
      <c r="A42" s="5">
        <v>41</v>
      </c>
      <c r="B42" s="6">
        <v>0</v>
      </c>
      <c r="C42" s="6">
        <v>0</v>
      </c>
      <c r="D42" s="6">
        <v>271.51</v>
      </c>
      <c r="E42" s="6">
        <v>271.51</v>
      </c>
      <c r="F42" s="6">
        <v>42.7</v>
      </c>
      <c r="G42" s="7">
        <v>59</v>
      </c>
    </row>
    <row r="43" spans="1:7" x14ac:dyDescent="0.3">
      <c r="A43" s="5">
        <v>42</v>
      </c>
      <c r="B43" s="6">
        <v>0</v>
      </c>
      <c r="C43" s="6">
        <v>0</v>
      </c>
      <c r="D43" s="6">
        <v>194.61</v>
      </c>
      <c r="E43" s="6">
        <v>194.61</v>
      </c>
      <c r="F43" s="6">
        <v>49.8</v>
      </c>
      <c r="G43" s="7">
        <v>77</v>
      </c>
    </row>
    <row r="44" spans="1:7" x14ac:dyDescent="0.3">
      <c r="A44" s="5">
        <v>43</v>
      </c>
      <c r="B44" s="6">
        <v>0</v>
      </c>
      <c r="C44" s="6">
        <v>0</v>
      </c>
      <c r="D44" s="6">
        <v>171.62</v>
      </c>
      <c r="E44" s="6">
        <v>171.62</v>
      </c>
      <c r="F44" s="6">
        <v>25.6</v>
      </c>
      <c r="G44" s="7">
        <v>13</v>
      </c>
    </row>
    <row r="45" spans="1:7" x14ac:dyDescent="0.3">
      <c r="A45" s="5">
        <v>44</v>
      </c>
      <c r="B45" s="6">
        <v>0</v>
      </c>
      <c r="C45" s="6">
        <v>0</v>
      </c>
      <c r="D45" s="6">
        <v>163.35</v>
      </c>
      <c r="E45" s="6">
        <v>163.35</v>
      </c>
      <c r="F45" s="6">
        <v>43.5</v>
      </c>
      <c r="G45" s="7">
        <v>96</v>
      </c>
    </row>
    <row r="46" spans="1:7" x14ac:dyDescent="0.3">
      <c r="A46" s="5">
        <v>45</v>
      </c>
      <c r="B46" s="6">
        <v>0</v>
      </c>
      <c r="C46" s="6">
        <v>0</v>
      </c>
      <c r="D46" s="6">
        <v>154.41999999999999</v>
      </c>
      <c r="E46" s="6">
        <v>154.41999999999999</v>
      </c>
      <c r="F46" s="6">
        <v>12.3</v>
      </c>
      <c r="G46" s="7">
        <v>65</v>
      </c>
    </row>
    <row r="47" spans="1:7" x14ac:dyDescent="0.3">
      <c r="A47" s="5">
        <v>46</v>
      </c>
      <c r="B47" s="6">
        <v>0</v>
      </c>
      <c r="C47" s="6">
        <v>0</v>
      </c>
      <c r="D47" s="6">
        <v>103.53</v>
      </c>
      <c r="E47" s="6">
        <v>103.53</v>
      </c>
      <c r="F47" s="6">
        <v>15.7</v>
      </c>
      <c r="G47" s="7">
        <v>77</v>
      </c>
    </row>
    <row r="48" spans="1:7" x14ac:dyDescent="0.3">
      <c r="A48" s="5">
        <v>47</v>
      </c>
      <c r="B48" s="6">
        <v>0</v>
      </c>
      <c r="C48" s="6">
        <v>0</v>
      </c>
      <c r="D48" s="6">
        <v>253.42</v>
      </c>
      <c r="E48" s="6">
        <v>253.42</v>
      </c>
      <c r="F48" s="6">
        <v>28.7</v>
      </c>
      <c r="G48" s="7">
        <v>23</v>
      </c>
    </row>
    <row r="49" spans="1:7" x14ac:dyDescent="0.3">
      <c r="A49" s="5">
        <v>48</v>
      </c>
      <c r="B49" s="6">
        <v>0</v>
      </c>
      <c r="C49" s="6">
        <v>0</v>
      </c>
      <c r="D49" s="6">
        <v>179.25</v>
      </c>
      <c r="E49" s="6">
        <v>179.25</v>
      </c>
      <c r="F49" s="6">
        <v>47.9</v>
      </c>
      <c r="G49" s="7">
        <v>73</v>
      </c>
    </row>
    <row r="50" spans="1:7" x14ac:dyDescent="0.3">
      <c r="A50" s="5">
        <v>49</v>
      </c>
      <c r="B50" s="6">
        <v>0</v>
      </c>
      <c r="C50" s="6">
        <v>0</v>
      </c>
      <c r="D50" s="6">
        <v>246.68</v>
      </c>
      <c r="E50" s="6">
        <v>246.68</v>
      </c>
      <c r="F50" s="6">
        <v>31.6</v>
      </c>
      <c r="G50" s="7">
        <v>83</v>
      </c>
    </row>
    <row r="51" spans="1:7" x14ac:dyDescent="0.3">
      <c r="A51" s="5">
        <v>50</v>
      </c>
      <c r="B51" s="6">
        <v>0</v>
      </c>
      <c r="C51" s="6">
        <v>0</v>
      </c>
      <c r="D51" s="6">
        <v>126.11</v>
      </c>
      <c r="E51" s="6">
        <v>126.11</v>
      </c>
      <c r="F51" s="6">
        <v>49.4</v>
      </c>
      <c r="G51" s="7">
        <v>70</v>
      </c>
    </row>
    <row r="52" spans="1:7" x14ac:dyDescent="0.3">
      <c r="A52" s="5">
        <v>51</v>
      </c>
      <c r="B52" s="6">
        <v>0</v>
      </c>
      <c r="C52" s="6">
        <v>0</v>
      </c>
      <c r="D52" s="6">
        <v>193.23</v>
      </c>
      <c r="E52" s="6">
        <v>193.23</v>
      </c>
      <c r="F52" s="6">
        <v>35.5</v>
      </c>
      <c r="G52" s="7">
        <v>81</v>
      </c>
    </row>
    <row r="53" spans="1:7" x14ac:dyDescent="0.3">
      <c r="A53" s="5">
        <v>52</v>
      </c>
      <c r="B53" s="6">
        <v>0</v>
      </c>
      <c r="C53" s="6">
        <v>0</v>
      </c>
      <c r="D53" s="6">
        <v>185.77</v>
      </c>
      <c r="E53" s="6">
        <v>185.77</v>
      </c>
      <c r="F53" s="6">
        <v>47.1</v>
      </c>
      <c r="G53" s="7">
        <v>45</v>
      </c>
    </row>
    <row r="54" spans="1:7" x14ac:dyDescent="0.3">
      <c r="A54" s="5">
        <v>53</v>
      </c>
      <c r="B54" s="6">
        <v>0</v>
      </c>
      <c r="C54" s="6">
        <v>0</v>
      </c>
      <c r="D54" s="6">
        <v>118.59</v>
      </c>
      <c r="E54" s="6">
        <v>118.59</v>
      </c>
      <c r="F54" s="6">
        <v>14.6</v>
      </c>
      <c r="G54" s="7">
        <v>6</v>
      </c>
    </row>
    <row r="55" spans="1:7" x14ac:dyDescent="0.3">
      <c r="A55" s="5">
        <v>54</v>
      </c>
      <c r="B55" s="6">
        <v>0</v>
      </c>
      <c r="C55" s="6">
        <v>0</v>
      </c>
      <c r="D55" s="6">
        <v>178.93</v>
      </c>
      <c r="E55" s="6">
        <v>178.93</v>
      </c>
      <c r="F55" s="6">
        <v>39.200000000000003</v>
      </c>
      <c r="G55" s="7">
        <v>75</v>
      </c>
    </row>
    <row r="56" spans="1:7" x14ac:dyDescent="0.3">
      <c r="A56" s="5">
        <v>55</v>
      </c>
      <c r="B56" s="6">
        <v>0</v>
      </c>
      <c r="C56" s="6">
        <v>0</v>
      </c>
      <c r="D56" s="6">
        <v>141.83000000000001</v>
      </c>
      <c r="E56" s="6">
        <v>141.83000000000001</v>
      </c>
      <c r="F56" s="6">
        <v>15.9</v>
      </c>
      <c r="G56" s="7">
        <v>94</v>
      </c>
    </row>
    <row r="57" spans="1:7" x14ac:dyDescent="0.3">
      <c r="A57" s="5">
        <v>56</v>
      </c>
      <c r="B57" s="6">
        <v>0</v>
      </c>
      <c r="C57" s="6">
        <v>0</v>
      </c>
      <c r="D57" s="6">
        <v>227.73</v>
      </c>
      <c r="E57" s="6">
        <v>227.73</v>
      </c>
      <c r="F57" s="6">
        <v>26.2</v>
      </c>
      <c r="G57" s="7">
        <v>28</v>
      </c>
    </row>
    <row r="58" spans="1:7" x14ac:dyDescent="0.3">
      <c r="A58" s="5">
        <v>57</v>
      </c>
      <c r="B58" s="6">
        <v>1</v>
      </c>
      <c r="C58" s="6">
        <v>0</v>
      </c>
      <c r="D58" s="6">
        <v>281.32</v>
      </c>
      <c r="E58" s="6">
        <v>281.32</v>
      </c>
      <c r="F58" s="6">
        <v>14</v>
      </c>
      <c r="G58" s="7">
        <v>46</v>
      </c>
    </row>
    <row r="59" spans="1:7" x14ac:dyDescent="0.3">
      <c r="A59" s="5">
        <v>58</v>
      </c>
      <c r="B59" s="6">
        <v>0</v>
      </c>
      <c r="C59" s="6">
        <v>0</v>
      </c>
      <c r="D59" s="6">
        <v>249.06</v>
      </c>
      <c r="E59" s="6">
        <v>249.06</v>
      </c>
      <c r="F59" s="6">
        <v>10</v>
      </c>
      <c r="G59" s="7">
        <v>15</v>
      </c>
    </row>
    <row r="60" spans="1:7" x14ac:dyDescent="0.3">
      <c r="A60" s="5">
        <v>59</v>
      </c>
      <c r="B60" s="6">
        <v>0</v>
      </c>
      <c r="C60" s="6">
        <v>0</v>
      </c>
      <c r="D60" s="6">
        <v>156.4</v>
      </c>
      <c r="E60" s="6">
        <v>156.4</v>
      </c>
      <c r="F60" s="6">
        <v>27.4</v>
      </c>
      <c r="G60" s="7">
        <v>48</v>
      </c>
    </row>
    <row r="61" spans="1:7" x14ac:dyDescent="0.3">
      <c r="A61" s="5">
        <v>60</v>
      </c>
      <c r="B61" s="6">
        <v>0</v>
      </c>
      <c r="C61" s="6">
        <v>1</v>
      </c>
      <c r="D61" s="6">
        <v>97.48</v>
      </c>
      <c r="E61" s="6">
        <v>97.48</v>
      </c>
      <c r="F61" s="6">
        <v>13.5</v>
      </c>
      <c r="G61" s="7">
        <v>4</v>
      </c>
    </row>
    <row r="62" spans="1:7" x14ac:dyDescent="0.3">
      <c r="A62" s="5">
        <v>61</v>
      </c>
      <c r="B62" s="6">
        <v>0</v>
      </c>
      <c r="C62" s="6">
        <v>0</v>
      </c>
      <c r="D62" s="6">
        <v>83.36</v>
      </c>
      <c r="E62" s="6">
        <v>83.36</v>
      </c>
      <c r="F62" s="6">
        <v>27.4</v>
      </c>
      <c r="G62" s="7">
        <v>56</v>
      </c>
    </row>
    <row r="63" spans="1:7" x14ac:dyDescent="0.3">
      <c r="A63" s="5">
        <v>62</v>
      </c>
      <c r="B63" s="6">
        <v>0</v>
      </c>
      <c r="C63" s="6">
        <v>0</v>
      </c>
      <c r="D63" s="6">
        <v>212.27</v>
      </c>
      <c r="E63" s="6">
        <v>212.27</v>
      </c>
      <c r="F63" s="6">
        <v>23.8</v>
      </c>
      <c r="G63" s="7">
        <v>96</v>
      </c>
    </row>
    <row r="64" spans="1:7" x14ac:dyDescent="0.3">
      <c r="A64" s="5">
        <v>63</v>
      </c>
      <c r="B64" s="6">
        <v>1</v>
      </c>
      <c r="C64" s="6">
        <v>0</v>
      </c>
      <c r="D64" s="6">
        <v>117.23</v>
      </c>
      <c r="E64" s="6">
        <v>117.23</v>
      </c>
      <c r="F64" s="6">
        <v>30.2</v>
      </c>
      <c r="G64" s="7">
        <v>36</v>
      </c>
    </row>
    <row r="65" spans="1:7" x14ac:dyDescent="0.3">
      <c r="A65" s="5">
        <v>64</v>
      </c>
      <c r="B65" s="6">
        <v>1</v>
      </c>
      <c r="C65" s="6">
        <v>1</v>
      </c>
      <c r="D65" s="6">
        <v>258.04000000000002</v>
      </c>
      <c r="E65" s="6">
        <v>258.04000000000002</v>
      </c>
      <c r="F65" s="6">
        <v>24.6</v>
      </c>
      <c r="G65" s="7">
        <v>64</v>
      </c>
    </row>
    <row r="66" spans="1:7" x14ac:dyDescent="0.3">
      <c r="A66" s="5">
        <v>65</v>
      </c>
      <c r="B66" s="6">
        <v>0</v>
      </c>
      <c r="C66" s="6">
        <v>0</v>
      </c>
      <c r="D66" s="6">
        <v>222.47</v>
      </c>
      <c r="E66" s="6">
        <v>222.47</v>
      </c>
      <c r="F66" s="6">
        <v>44.4</v>
      </c>
      <c r="G66" s="7">
        <v>63</v>
      </c>
    </row>
    <row r="67" spans="1:7" x14ac:dyDescent="0.3">
      <c r="A67" s="5">
        <v>66</v>
      </c>
      <c r="B67" s="6">
        <v>0</v>
      </c>
      <c r="C67" s="6">
        <v>0</v>
      </c>
      <c r="D67" s="6">
        <v>208.2</v>
      </c>
      <c r="E67" s="6">
        <v>208.2</v>
      </c>
      <c r="F67" s="6">
        <v>29.8</v>
      </c>
      <c r="G67" s="7">
        <v>60</v>
      </c>
    </row>
    <row r="68" spans="1:7" x14ac:dyDescent="0.3">
      <c r="A68" s="5">
        <v>67</v>
      </c>
      <c r="B68" s="6">
        <v>0</v>
      </c>
      <c r="C68" s="6">
        <v>0</v>
      </c>
      <c r="D68" s="6">
        <v>131.99</v>
      </c>
      <c r="E68" s="6">
        <v>131.99</v>
      </c>
      <c r="F68" s="6">
        <v>21.3</v>
      </c>
      <c r="G68" s="7">
        <v>76</v>
      </c>
    </row>
    <row r="69" spans="1:7" x14ac:dyDescent="0.3">
      <c r="A69" s="5">
        <v>68</v>
      </c>
      <c r="B69" s="6">
        <v>0</v>
      </c>
      <c r="C69" s="6">
        <v>0</v>
      </c>
      <c r="D69" s="6">
        <v>141.66</v>
      </c>
      <c r="E69" s="6">
        <v>141.66</v>
      </c>
      <c r="F69" s="6">
        <v>15.2</v>
      </c>
      <c r="G69" s="7">
        <v>63</v>
      </c>
    </row>
    <row r="70" spans="1:7" x14ac:dyDescent="0.3">
      <c r="A70" s="5">
        <v>69</v>
      </c>
      <c r="B70" s="6">
        <v>0</v>
      </c>
      <c r="C70" s="6">
        <v>0</v>
      </c>
      <c r="D70" s="6">
        <v>103.97</v>
      </c>
      <c r="E70" s="6">
        <v>103.97</v>
      </c>
      <c r="F70" s="6">
        <v>42.9</v>
      </c>
      <c r="G70" s="7">
        <v>100</v>
      </c>
    </row>
    <row r="71" spans="1:7" x14ac:dyDescent="0.3">
      <c r="A71" s="5">
        <v>70</v>
      </c>
      <c r="B71" s="6">
        <v>0</v>
      </c>
      <c r="C71" s="6">
        <v>0</v>
      </c>
      <c r="D71" s="6">
        <v>168.13</v>
      </c>
      <c r="E71" s="6">
        <v>168.13</v>
      </c>
      <c r="F71" s="6">
        <v>17.399999999999999</v>
      </c>
      <c r="G71" s="7">
        <v>37</v>
      </c>
    </row>
    <row r="72" spans="1:7" x14ac:dyDescent="0.3">
      <c r="A72" s="5">
        <v>71</v>
      </c>
      <c r="B72" s="6">
        <v>0</v>
      </c>
      <c r="C72" s="6">
        <v>0</v>
      </c>
      <c r="D72" s="6">
        <v>257.68</v>
      </c>
      <c r="E72" s="6">
        <v>257.68</v>
      </c>
      <c r="F72" s="6">
        <v>28.2</v>
      </c>
      <c r="G72" s="7">
        <v>12</v>
      </c>
    </row>
    <row r="73" spans="1:7" x14ac:dyDescent="0.3">
      <c r="A73" s="5">
        <v>72</v>
      </c>
      <c r="B73" s="6">
        <v>0</v>
      </c>
      <c r="C73" s="6">
        <v>0</v>
      </c>
      <c r="D73" s="6">
        <v>114.33</v>
      </c>
      <c r="E73" s="6">
        <v>114.33</v>
      </c>
      <c r="F73" s="6">
        <v>33.799999999999997</v>
      </c>
      <c r="G73" s="7">
        <v>88</v>
      </c>
    </row>
    <row r="74" spans="1:7" x14ac:dyDescent="0.3">
      <c r="A74" s="5">
        <v>73</v>
      </c>
      <c r="B74" s="6">
        <v>0</v>
      </c>
      <c r="C74" s="6">
        <v>0</v>
      </c>
      <c r="D74" s="6">
        <v>273.94</v>
      </c>
      <c r="E74" s="6">
        <v>273.94</v>
      </c>
      <c r="F74" s="6">
        <v>17.100000000000001</v>
      </c>
      <c r="G74" s="7">
        <v>57</v>
      </c>
    </row>
    <row r="75" spans="1:7" x14ac:dyDescent="0.3">
      <c r="A75" s="5">
        <v>74</v>
      </c>
      <c r="B75" s="6">
        <v>1</v>
      </c>
      <c r="C75" s="6">
        <v>0</v>
      </c>
      <c r="D75" s="6">
        <v>165.18</v>
      </c>
      <c r="E75" s="6">
        <v>165.18</v>
      </c>
      <c r="F75" s="6">
        <v>36</v>
      </c>
      <c r="G75" s="7">
        <v>57</v>
      </c>
    </row>
    <row r="76" spans="1:7" x14ac:dyDescent="0.3">
      <c r="A76" s="5">
        <v>75</v>
      </c>
      <c r="B76" s="6">
        <v>0</v>
      </c>
      <c r="C76" s="6">
        <v>0</v>
      </c>
      <c r="D76" s="6">
        <v>145.4</v>
      </c>
      <c r="E76" s="6">
        <v>145.4</v>
      </c>
      <c r="F76" s="6">
        <v>41.1</v>
      </c>
      <c r="G76" s="7">
        <v>37</v>
      </c>
    </row>
    <row r="77" spans="1:7" x14ac:dyDescent="0.3">
      <c r="A77" s="5">
        <v>76</v>
      </c>
      <c r="B77" s="6">
        <v>0</v>
      </c>
      <c r="C77" s="6">
        <v>0</v>
      </c>
      <c r="D77" s="6">
        <v>194.67</v>
      </c>
      <c r="E77" s="6">
        <v>194.67</v>
      </c>
      <c r="F77" s="6">
        <v>18</v>
      </c>
      <c r="G77" s="7">
        <v>9</v>
      </c>
    </row>
    <row r="78" spans="1:7" x14ac:dyDescent="0.3">
      <c r="A78" s="5">
        <v>77</v>
      </c>
      <c r="B78" s="6">
        <v>0</v>
      </c>
      <c r="C78" s="6">
        <v>0</v>
      </c>
      <c r="D78" s="6">
        <v>189.58</v>
      </c>
      <c r="E78" s="6">
        <v>189.58</v>
      </c>
      <c r="F78" s="6">
        <v>14.9</v>
      </c>
      <c r="G78" s="7">
        <v>98</v>
      </c>
    </row>
    <row r="79" spans="1:7" x14ac:dyDescent="0.3">
      <c r="A79" s="5">
        <v>78</v>
      </c>
      <c r="B79" s="6">
        <v>0</v>
      </c>
      <c r="C79" s="6">
        <v>1</v>
      </c>
      <c r="D79" s="6">
        <v>115.07</v>
      </c>
      <c r="E79" s="6">
        <v>115.07</v>
      </c>
      <c r="F79" s="6">
        <v>37.299999999999997</v>
      </c>
      <c r="G79" s="7">
        <v>95</v>
      </c>
    </row>
    <row r="80" spans="1:7" x14ac:dyDescent="0.3">
      <c r="A80" s="5">
        <v>79</v>
      </c>
      <c r="B80" s="6">
        <v>0</v>
      </c>
      <c r="C80" s="6">
        <v>0</v>
      </c>
      <c r="D80" s="6">
        <v>205.56</v>
      </c>
      <c r="E80" s="6">
        <v>205.56</v>
      </c>
      <c r="F80" s="6">
        <v>44.9</v>
      </c>
      <c r="G80" s="7">
        <v>68</v>
      </c>
    </row>
    <row r="81" spans="1:7" x14ac:dyDescent="0.3">
      <c r="A81" s="5">
        <v>80</v>
      </c>
      <c r="B81" s="6">
        <v>1</v>
      </c>
      <c r="C81" s="6">
        <v>0</v>
      </c>
      <c r="D81" s="6">
        <v>228.5</v>
      </c>
      <c r="E81" s="6">
        <v>228.5</v>
      </c>
      <c r="F81" s="6">
        <v>47.4</v>
      </c>
      <c r="G81" s="7">
        <v>22</v>
      </c>
    </row>
    <row r="82" spans="1:7" x14ac:dyDescent="0.3">
      <c r="A82" s="5">
        <v>81</v>
      </c>
      <c r="B82" s="6">
        <v>0</v>
      </c>
      <c r="C82" s="6">
        <v>0</v>
      </c>
      <c r="D82" s="6">
        <v>214.83</v>
      </c>
      <c r="E82" s="6">
        <v>214.83</v>
      </c>
      <c r="F82" s="6">
        <v>23.8</v>
      </c>
      <c r="G82" s="7">
        <v>8</v>
      </c>
    </row>
    <row r="83" spans="1:7" x14ac:dyDescent="0.3">
      <c r="A83" s="5">
        <v>82</v>
      </c>
      <c r="B83" s="6">
        <v>0</v>
      </c>
      <c r="C83" s="6">
        <v>0</v>
      </c>
      <c r="D83" s="6">
        <v>219.12</v>
      </c>
      <c r="E83" s="6">
        <v>219.12</v>
      </c>
      <c r="F83" s="6">
        <v>40.799999999999997</v>
      </c>
      <c r="G83" s="7">
        <v>85</v>
      </c>
    </row>
    <row r="84" spans="1:7" x14ac:dyDescent="0.3">
      <c r="A84" s="5">
        <v>83</v>
      </c>
      <c r="B84" s="6">
        <v>0</v>
      </c>
      <c r="C84" s="6">
        <v>1</v>
      </c>
      <c r="D84" s="6">
        <v>247.61</v>
      </c>
      <c r="E84" s="6">
        <v>247.61</v>
      </c>
      <c r="F84" s="6">
        <v>26.5</v>
      </c>
      <c r="G84" s="7">
        <v>84</v>
      </c>
    </row>
    <row r="85" spans="1:7" x14ac:dyDescent="0.3">
      <c r="A85" s="5">
        <v>84</v>
      </c>
      <c r="B85" s="6">
        <v>0</v>
      </c>
      <c r="C85" s="6">
        <v>0</v>
      </c>
      <c r="D85" s="6">
        <v>174.34</v>
      </c>
      <c r="E85" s="6">
        <v>174.34</v>
      </c>
      <c r="F85" s="6">
        <v>30.1</v>
      </c>
      <c r="G85" s="7">
        <v>28</v>
      </c>
    </row>
    <row r="86" spans="1:7" x14ac:dyDescent="0.3">
      <c r="A86" s="5">
        <v>85</v>
      </c>
      <c r="B86" s="6">
        <v>0</v>
      </c>
      <c r="C86" s="6">
        <v>0</v>
      </c>
      <c r="D86" s="6">
        <v>85.08</v>
      </c>
      <c r="E86" s="6">
        <v>85.08</v>
      </c>
      <c r="F86" s="6">
        <v>40</v>
      </c>
      <c r="G86" s="7">
        <v>27</v>
      </c>
    </row>
    <row r="87" spans="1:7" x14ac:dyDescent="0.3">
      <c r="A87" s="5">
        <v>86</v>
      </c>
      <c r="B87" s="6">
        <v>0</v>
      </c>
      <c r="C87" s="6">
        <v>0</v>
      </c>
      <c r="D87" s="6">
        <v>117.9</v>
      </c>
      <c r="E87" s="6">
        <v>117.9</v>
      </c>
      <c r="F87" s="6">
        <v>46.7</v>
      </c>
      <c r="G87" s="7">
        <v>67</v>
      </c>
    </row>
    <row r="88" spans="1:7" x14ac:dyDescent="0.3">
      <c r="A88" s="5">
        <v>87</v>
      </c>
      <c r="B88" s="6">
        <v>0</v>
      </c>
      <c r="C88" s="6">
        <v>0</v>
      </c>
      <c r="D88" s="6">
        <v>263.39999999999998</v>
      </c>
      <c r="E88" s="6">
        <v>263.39999999999998</v>
      </c>
      <c r="F88" s="6">
        <v>39.4</v>
      </c>
      <c r="G88" s="7">
        <v>60</v>
      </c>
    </row>
    <row r="89" spans="1:7" x14ac:dyDescent="0.3">
      <c r="A89" s="5">
        <v>88</v>
      </c>
      <c r="B89" s="6">
        <v>0</v>
      </c>
      <c r="C89" s="6">
        <v>0</v>
      </c>
      <c r="D89" s="6">
        <v>136.86000000000001</v>
      </c>
      <c r="E89" s="6">
        <v>136.86000000000001</v>
      </c>
      <c r="F89" s="6">
        <v>37.700000000000003</v>
      </c>
      <c r="G89" s="7">
        <v>47</v>
      </c>
    </row>
    <row r="90" spans="1:7" x14ac:dyDescent="0.3">
      <c r="A90" s="5">
        <v>89</v>
      </c>
      <c r="B90" s="6">
        <v>0</v>
      </c>
      <c r="C90" s="6">
        <v>0</v>
      </c>
      <c r="D90" s="6">
        <v>283.63</v>
      </c>
      <c r="E90" s="6">
        <v>283.63</v>
      </c>
      <c r="F90" s="6">
        <v>44.5</v>
      </c>
      <c r="G90" s="7">
        <v>49</v>
      </c>
    </row>
    <row r="91" spans="1:7" x14ac:dyDescent="0.3">
      <c r="A91" s="5">
        <v>90</v>
      </c>
      <c r="B91" s="6">
        <v>1</v>
      </c>
      <c r="C91" s="6">
        <v>0</v>
      </c>
      <c r="D91" s="6">
        <v>232.11</v>
      </c>
      <c r="E91" s="6">
        <v>232.11</v>
      </c>
      <c r="F91" s="6">
        <v>49.2</v>
      </c>
      <c r="G91" s="7">
        <v>17</v>
      </c>
    </row>
    <row r="92" spans="1:7" x14ac:dyDescent="0.3">
      <c r="A92" s="5">
        <v>91</v>
      </c>
      <c r="B92" s="6">
        <v>0</v>
      </c>
      <c r="C92" s="6">
        <v>0</v>
      </c>
      <c r="D92" s="6">
        <v>219.95</v>
      </c>
      <c r="E92" s="6">
        <v>219.95</v>
      </c>
      <c r="F92" s="6">
        <v>28.8</v>
      </c>
      <c r="G92" s="7">
        <v>52</v>
      </c>
    </row>
    <row r="93" spans="1:7" x14ac:dyDescent="0.3">
      <c r="A93" s="5">
        <v>92</v>
      </c>
      <c r="B93" s="6">
        <v>0</v>
      </c>
      <c r="C93" s="6">
        <v>0</v>
      </c>
      <c r="D93" s="6">
        <v>124.71</v>
      </c>
      <c r="E93" s="6">
        <v>124.71</v>
      </c>
      <c r="F93" s="6">
        <v>36.9</v>
      </c>
      <c r="G93" s="7">
        <v>73</v>
      </c>
    </row>
    <row r="94" spans="1:7" x14ac:dyDescent="0.3">
      <c r="A94" s="5">
        <v>93</v>
      </c>
      <c r="B94" s="6">
        <v>0</v>
      </c>
      <c r="C94" s="6">
        <v>0</v>
      </c>
      <c r="D94" s="6">
        <v>235.66</v>
      </c>
      <c r="E94" s="6">
        <v>235.66</v>
      </c>
      <c r="F94" s="6">
        <v>27.6</v>
      </c>
      <c r="G94" s="7">
        <v>74</v>
      </c>
    </row>
    <row r="95" spans="1:7" x14ac:dyDescent="0.3">
      <c r="A95" s="5">
        <v>94</v>
      </c>
      <c r="B95" s="6">
        <v>1</v>
      </c>
      <c r="C95" s="6">
        <v>0</v>
      </c>
      <c r="D95" s="6">
        <v>170.96</v>
      </c>
      <c r="E95" s="6">
        <v>170.96</v>
      </c>
      <c r="F95" s="6">
        <v>47.4</v>
      </c>
      <c r="G95" s="7">
        <v>8</v>
      </c>
    </row>
    <row r="96" spans="1:7" x14ac:dyDescent="0.3">
      <c r="A96" s="5">
        <v>95</v>
      </c>
      <c r="B96" s="6">
        <v>0</v>
      </c>
      <c r="C96" s="6">
        <v>0</v>
      </c>
      <c r="D96" s="6">
        <v>102.53</v>
      </c>
      <c r="E96" s="6">
        <v>102.53</v>
      </c>
      <c r="F96" s="6">
        <v>44.9</v>
      </c>
      <c r="G96" s="7">
        <v>73</v>
      </c>
    </row>
    <row r="97" spans="1:7" x14ac:dyDescent="0.3">
      <c r="A97" s="8">
        <v>96</v>
      </c>
      <c r="B97" s="9">
        <v>0</v>
      </c>
      <c r="C97" s="9">
        <v>0</v>
      </c>
      <c r="D97" s="9">
        <v>172.53</v>
      </c>
      <c r="E97" s="9">
        <v>172.53</v>
      </c>
      <c r="F97" s="9">
        <v>28.1</v>
      </c>
      <c r="G97" s="10">
        <v>73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Patients</vt:lpstr>
      <vt:lpstr>Patient_habits</vt:lpstr>
      <vt:lpstr>Diseases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 Chopra</dc:creator>
  <cp:lastModifiedBy>Sameer Chopra</cp:lastModifiedBy>
  <dcterms:created xsi:type="dcterms:W3CDTF">2026-05-01T07:13:19Z</dcterms:created>
  <dcterms:modified xsi:type="dcterms:W3CDTF">2026-05-01T07:14:29Z</dcterms:modified>
</cp:coreProperties>
</file>