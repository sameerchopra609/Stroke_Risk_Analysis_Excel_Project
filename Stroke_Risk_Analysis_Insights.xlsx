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aeb2330387e070b/Desktop/"/>
    </mc:Choice>
  </mc:AlternateContent>
  <xr:revisionPtr revIDLastSave="1" documentId="8_{BC10499D-435D-4EA5-AF89-539856CC6B6C}" xr6:coauthVersionLast="47" xr6:coauthVersionMax="47" xr10:uidLastSave="{90241C37-6056-4515-B7BB-A2E3EABD0A63}"/>
  <bookViews>
    <workbookView xWindow="-108" yWindow="-108" windowWidth="23256" windowHeight="12456" xr2:uid="{7B8F14DA-12BE-4557-98C3-CAA868959FD8}"/>
  </bookViews>
  <sheets>
    <sheet name="Insights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<sst xmlns="http://schemas.openxmlformats.org/spreadsheetml/2006/main" count="111" uniqueCount="48">
  <si>
    <t>Age Segment</t>
  </si>
  <si>
    <t>Total Number of Stroke Occurrence</t>
  </si>
  <si>
    <t>Physical Activity</t>
  </si>
  <si>
    <t>Total Stroke Risk Score</t>
  </si>
  <si>
    <t>Total Stroke Occurrence</t>
  </si>
  <si>
    <t>Total Patients as per Smoking Status</t>
  </si>
  <si>
    <t>Middle</t>
  </si>
  <si>
    <t>Smoking Status</t>
  </si>
  <si>
    <t xml:space="preserve">Total Stroke Risk Score </t>
  </si>
  <si>
    <t>Active</t>
  </si>
  <si>
    <t>Senior</t>
  </si>
  <si>
    <t>Formerly smoked</t>
  </si>
  <si>
    <t>Light</t>
  </si>
  <si>
    <t>Young</t>
  </si>
  <si>
    <t>Moderate</t>
  </si>
  <si>
    <t>Sedentary</t>
  </si>
  <si>
    <t>Never smoked</t>
  </si>
  <si>
    <t>Income Level</t>
  </si>
  <si>
    <t>Total Stroke Risk Score as per Income Segment</t>
  </si>
  <si>
    <t>Total Number of Patient as per Income Segment</t>
  </si>
  <si>
    <t>High</t>
  </si>
  <si>
    <t>Low</t>
  </si>
  <si>
    <t>Smokes</t>
  </si>
  <si>
    <t>Unknown</t>
  </si>
  <si>
    <t>Total Patients As per Age Segment</t>
  </si>
  <si>
    <t>Total Patients of Hypertension</t>
  </si>
  <si>
    <t>Alcohol Consumption</t>
  </si>
  <si>
    <t>Total Alcohol Consumers</t>
  </si>
  <si>
    <t>Patients suffering from Heart Disease</t>
  </si>
  <si>
    <t>No</t>
  </si>
  <si>
    <t>Yes</t>
  </si>
  <si>
    <t>Total Patients</t>
  </si>
  <si>
    <t>Chronic Stress</t>
  </si>
  <si>
    <t>Total Patients having Chronic Stress</t>
  </si>
  <si>
    <t>Work Type</t>
  </si>
  <si>
    <t>Total Patients in each category</t>
  </si>
  <si>
    <t>Children</t>
  </si>
  <si>
    <t>Government</t>
  </si>
  <si>
    <t>Never Worked</t>
  </si>
  <si>
    <t>Private</t>
  </si>
  <si>
    <t>Dietary Habits</t>
  </si>
  <si>
    <t>Sum of Stroke Risk Score</t>
  </si>
  <si>
    <t>Sum of Stroke Occurrence</t>
  </si>
  <si>
    <t>Sum of Heart Disease</t>
  </si>
  <si>
    <t>Mixed</t>
  </si>
  <si>
    <t>Self-employed</t>
  </si>
  <si>
    <t>Non-Vegetarian</t>
  </si>
  <si>
    <t>Vegetarian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</si>
</sst>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7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Heart Patients</a:t>
            </a:r>
            <a:r>
              <a:rPr lang="en-US" baseline="0"/>
              <a:t> as per Age Segment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4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5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11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7F-4F5D-82A4-BB3AFAF9B641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7F-4F5D-82A4-BB3AFAF9B641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7F-4F5D-82A4-BB3AFAF9B641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Insights!$A$2:$A$4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Insights!$B$2:$B$4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7F-4F5D-82A4-BB3AFAF9B6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[Stroke_Risk_Analysis_Insights.xlsx]Insights!PivotTable4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Total Stroke Risk Score as per Income Segment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6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1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14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Insights!$E$9</c:f>
              <c:strCache>
                <c:ptCount val="1"/>
                <c:pt idx="0">
                  <c:v>Total Stroke Risk Score as per Income Segment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05-4A6C-9F32-C73E9CA22DFF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05-4A6C-9F32-C73E9CA22DFF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05-4A6C-9F32-C73E9CA22DFF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Insights!$D$10:$D$12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Middle</c:v>
                </c:pt>
              </c:strCache>
            </c:strRef>
          </c:cat>
          <c:val>
            <c:numRef>
              <c:f>Insights!$E$10:$E$12</c:f>
              <c:numCache>
                <c:formatCode>General</c:formatCode>
                <c:ptCount val="3"/>
                <c:pt idx="0">
                  <c:v>1212</c:v>
                </c:pt>
                <c:pt idx="1">
                  <c:v>2276</c:v>
                </c:pt>
                <c:pt idx="2">
                  <c:v>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05-4A6C-9F32-C73E9CA22DFF}"/>
            </c:ext>
          </c:extLst>
        </c:ser>
        <c:ser>
          <c:idx val="1"/>
          <c:order val="1"/>
          <c:tx>
            <c:strRef>
              <c:f>Insights!$F$9</c:f>
              <c:strCache>
                <c:ptCount val="1"/>
                <c:pt idx="0">
                  <c:v>Total Number of Patient as per Income Segment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4D05-4A6C-9F32-C73E9CA22DFF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4D05-4A6C-9F32-C73E9CA22DFF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4D05-4A6C-9F32-C73E9CA22DFF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05-4A6C-9F32-C73E9CA22DFF}"/>
                </c:ext>
              </c:extLst>
            </c:dLbl>
            <c:dLbl>
              <c:idx val="1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05-4A6C-9F32-C73E9CA22DFF}"/>
                </c:ext>
              </c:extLst>
            </c:dLbl>
            <c:dLbl>
              <c:idx val="2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05-4A6C-9F32-C73E9CA22DFF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E97132"/>
                </a:solidFill>
                <a:round/>
              </a:ln>
              <a:effectLst>
                <a:outerShdw blurRad="50800" dist="38100" dir="2700000" algn="tl" rotWithShape="0">
                  <a:srgbClr val="E9713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Insights!$D$10:$D$12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Middle</c:v>
                </c:pt>
              </c:strCache>
            </c:strRef>
          </c:cat>
          <c:val>
            <c:numRef>
              <c:f>Insights!$F$10:$F$12</c:f>
              <c:numCache>
                <c:formatCode>General</c:formatCode>
                <c:ptCount val="3"/>
                <c:pt idx="0">
                  <c:v>22</c:v>
                </c:pt>
                <c:pt idx="1">
                  <c:v>47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D05-4A6C-9F32-C73E9CA22D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[Stroke_Risk_Analysis_Insights.xlsx]Insights!PivotTable5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400"/>
              <a:t>Total Patients as per Age</a:t>
            </a:r>
            <a:r>
              <a:rPr lang="en-US" sz="4400" baseline="0"/>
              <a:t> Segment</a:t>
            </a:r>
            <a:endParaRPr lang="en-US" sz="4400"/>
          </a:p>
          <a:p>
            <a:pPr>
              <a:defRPr sz="2800"/>
            </a:pPr>
            <a:endParaRPr lang="en-US" sz="2000"/>
          </a:p>
        </c:rich>
      </c:tx>
      <c:layout>
        <c:manualLayout>
          <c:xMode val="edge"/>
          <c:yMode val="edge"/>
          <c:x val="0.31672875551415264"/>
          <c:y val="8.0035633615920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Insights!$A$19:$A$21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Insights!$B$19:$B$21</c:f>
              <c:numCache>
                <c:formatCode>General</c:formatCode>
                <c:ptCount val="3"/>
                <c:pt idx="0">
                  <c:v>33</c:v>
                </c:pt>
                <c:pt idx="1">
                  <c:v>50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D-40E6-A2FE-BB9A08832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2542880"/>
        <c:axId val="2064051648"/>
      </c:barChart>
      <c:catAx>
        <c:axId val="20625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51648"/>
        <c:crosses val="autoZero"/>
        <c:auto val="1"/>
        <c:lblAlgn val="ctr"/>
        <c:lblOffset val="100"/>
        <c:noMultiLvlLbl val="0"/>
      </c:catAx>
      <c:valAx>
        <c:axId val="206405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4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[Stroke_Risk_Analysis_Insights.xlsx]Insights!PivotTable7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600" b="1"/>
              <a:t>Smoking</a:t>
            </a:r>
            <a:r>
              <a:rPr lang="en-IN" sz="3600" b="1" baseline="0"/>
              <a:t> Status as per Age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Insights!$B$48:$B$49</c:f>
              <c:strCache>
                <c:ptCount val="1"/>
                <c:pt idx="0">
                  <c:v>Formerly smoked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Insights!$A$50:$A$52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Insights!$B$50:$B$52</c:f>
              <c:numCache>
                <c:formatCode>General</c:formatCode>
                <c:ptCount val="3"/>
                <c:pt idx="0">
                  <c:v>6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6-48D8-8011-D06BE6517F48}"/>
            </c:ext>
          </c:extLst>
        </c:ser>
        <c:ser>
          <c:idx val="1"/>
          <c:order val="1"/>
          <c:tx>
            <c:strRef>
              <c:f>Insights!$C$48:$C$49</c:f>
              <c:strCache>
                <c:ptCount val="1"/>
                <c:pt idx="0">
                  <c:v>Never smoked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Insights!$A$50:$A$52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Insights!$C$50:$C$52</c:f>
              <c:numCache>
                <c:formatCode>General</c:formatCode>
                <c:ptCount val="3"/>
                <c:pt idx="0">
                  <c:v>25</c:v>
                </c:pt>
                <c:pt idx="1">
                  <c:v>31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6-48D8-8011-D06BE6517F48}"/>
            </c:ext>
          </c:extLst>
        </c:ser>
        <c:ser>
          <c:idx val="2"/>
          <c:order val="2"/>
          <c:tx>
            <c:strRef>
              <c:f>Insights!$D$48:$D$49</c:f>
              <c:strCache>
                <c:ptCount val="1"/>
                <c:pt idx="0">
                  <c:v>Smokes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Insights!$A$50:$A$52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Insights!$D$50:$D$52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6-48D8-8011-D06BE6517F48}"/>
            </c:ext>
          </c:extLst>
        </c:ser>
        <c:ser>
          <c:idx val="3"/>
          <c:order val="3"/>
          <c:tx>
            <c:strRef>
              <c:f>Insights!$E$48:$E$49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Insights!$A$50:$A$52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Insights!$E$50:$E$52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56-48D8-8011-D06BE6517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347583"/>
        <c:axId val="905331263"/>
      </c:barChart>
      <c:catAx>
        <c:axId val="9053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331263"/>
        <c:crosses val="autoZero"/>
        <c:auto val="1"/>
        <c:lblAlgn val="ctr"/>
        <c:lblOffset val="100"/>
        <c:noMultiLvlLbl val="0"/>
      </c:catAx>
      <c:valAx>
        <c:axId val="90533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3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[Stroke_Risk_Analysis_Insights.xlsx]Insights!PivotTable8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2800" b="1"/>
              <a:t>People</a:t>
            </a:r>
            <a:r>
              <a:rPr lang="en-IN" sz="2800" b="1" baseline="0"/>
              <a:t> at Stroke Risk as per  Smoking status</a:t>
            </a:r>
            <a:endParaRPr lang="en-IN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Insights!$N$2</c:f>
              <c:strCache>
                <c:ptCount val="1"/>
                <c:pt idx="0">
                  <c:v>Total Stroke Risk Score 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multiLvlStrRef>
              <c:f>Insights!$L$3:$M$18</c:f>
              <c:multiLvlStrCache>
                <c:ptCount val="12"/>
                <c:lvl>
                  <c:pt idx="0">
                    <c:v>Middle</c:v>
                  </c:pt>
                  <c:pt idx="1">
                    <c:v>Senior</c:v>
                  </c:pt>
                  <c:pt idx="2">
                    <c:v>Young</c:v>
                  </c:pt>
                  <c:pt idx="3">
                    <c:v>Middle</c:v>
                  </c:pt>
                  <c:pt idx="4">
                    <c:v>Senior</c:v>
                  </c:pt>
                  <c:pt idx="5">
                    <c:v>Young</c:v>
                  </c:pt>
                  <c:pt idx="6">
                    <c:v>Middle</c:v>
                  </c:pt>
                  <c:pt idx="7">
                    <c:v>Senior</c:v>
                  </c:pt>
                  <c:pt idx="8">
                    <c:v>Young</c:v>
                  </c:pt>
                  <c:pt idx="9">
                    <c:v>Middle</c:v>
                  </c:pt>
                  <c:pt idx="10">
                    <c:v>Senior</c:v>
                  </c:pt>
                  <c:pt idx="11">
                    <c:v>Young</c:v>
                  </c:pt>
                </c:lvl>
                <c:lvl>
                  <c:pt idx="0">
                    <c:v>Formerly smoked</c:v>
                  </c:pt>
                  <c:pt idx="3">
                    <c:v>Never smoked</c:v>
                  </c:pt>
                  <c:pt idx="6">
                    <c:v>Smokes</c:v>
                  </c:pt>
                  <c:pt idx="9">
                    <c:v>Unknown</c:v>
                  </c:pt>
                </c:lvl>
              </c:multiLvlStrCache>
            </c:multiLvlStrRef>
          </c:cat>
          <c:val>
            <c:numRef>
              <c:f>Insights!$N$3:$N$18</c:f>
              <c:numCache>
                <c:formatCode>General</c:formatCode>
                <c:ptCount val="12"/>
                <c:pt idx="0">
                  <c:v>239</c:v>
                </c:pt>
                <c:pt idx="1">
                  <c:v>497</c:v>
                </c:pt>
                <c:pt idx="2">
                  <c:v>260</c:v>
                </c:pt>
                <c:pt idx="3">
                  <c:v>1408</c:v>
                </c:pt>
                <c:pt idx="4">
                  <c:v>1631</c:v>
                </c:pt>
                <c:pt idx="5">
                  <c:v>413</c:v>
                </c:pt>
                <c:pt idx="6">
                  <c:v>6</c:v>
                </c:pt>
                <c:pt idx="7">
                  <c:v>256</c:v>
                </c:pt>
                <c:pt idx="8">
                  <c:v>22</c:v>
                </c:pt>
                <c:pt idx="9">
                  <c:v>75</c:v>
                </c:pt>
                <c:pt idx="10">
                  <c:v>322</c:v>
                </c:pt>
                <c:pt idx="11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7-4830-8D1B-A73B311AF517}"/>
            </c:ext>
          </c:extLst>
        </c:ser>
        <c:ser>
          <c:idx val="1"/>
          <c:order val="1"/>
          <c:tx>
            <c:strRef>
              <c:f>Insights!$O$2</c:f>
              <c:strCache>
                <c:ptCount val="1"/>
                <c:pt idx="0">
                  <c:v>Total Stroke Occurrence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multiLvlStrRef>
              <c:f>Insights!$L$3:$M$18</c:f>
              <c:multiLvlStrCache>
                <c:ptCount val="12"/>
                <c:lvl>
                  <c:pt idx="0">
                    <c:v>Middle</c:v>
                  </c:pt>
                  <c:pt idx="1">
                    <c:v>Senior</c:v>
                  </c:pt>
                  <c:pt idx="2">
                    <c:v>Young</c:v>
                  </c:pt>
                  <c:pt idx="3">
                    <c:v>Middle</c:v>
                  </c:pt>
                  <c:pt idx="4">
                    <c:v>Senior</c:v>
                  </c:pt>
                  <c:pt idx="5">
                    <c:v>Young</c:v>
                  </c:pt>
                  <c:pt idx="6">
                    <c:v>Middle</c:v>
                  </c:pt>
                  <c:pt idx="7">
                    <c:v>Senior</c:v>
                  </c:pt>
                  <c:pt idx="8">
                    <c:v>Young</c:v>
                  </c:pt>
                  <c:pt idx="9">
                    <c:v>Middle</c:v>
                  </c:pt>
                  <c:pt idx="10">
                    <c:v>Senior</c:v>
                  </c:pt>
                  <c:pt idx="11">
                    <c:v>Young</c:v>
                  </c:pt>
                </c:lvl>
                <c:lvl>
                  <c:pt idx="0">
                    <c:v>Formerly smoked</c:v>
                  </c:pt>
                  <c:pt idx="3">
                    <c:v>Never smoked</c:v>
                  </c:pt>
                  <c:pt idx="6">
                    <c:v>Smokes</c:v>
                  </c:pt>
                  <c:pt idx="9">
                    <c:v>Unknown</c:v>
                  </c:pt>
                </c:lvl>
              </c:multiLvlStrCache>
            </c:multiLvlStrRef>
          </c:cat>
          <c:val>
            <c:numRef>
              <c:f>Insights!$O$3:$O$18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7-4830-8D1B-A73B311AF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1240270319"/>
        <c:axId val="1240272239"/>
      </c:barChart>
      <c:catAx>
        <c:axId val="1240270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72239"/>
        <c:crosses val="autoZero"/>
        <c:auto val="1"/>
        <c:lblAlgn val="ctr"/>
        <c:lblOffset val="100"/>
        <c:noMultiLvlLbl val="0"/>
      </c:catAx>
      <c:valAx>
        <c:axId val="12402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7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[Stroke_Risk_Analysis_Insights.xlsx]Insights!PivotTable10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Total Patients of Hypertension as per Income Segment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4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7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Insights!$G$25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9F-41FC-97EA-E12BC99546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9F-41FC-97EA-E12BC99546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9F-41FC-97EA-E12BC99546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Insights!$F$26:$F$28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Middle</c:v>
                </c:pt>
              </c:strCache>
            </c:strRef>
          </c:cat>
          <c:val>
            <c:numRef>
              <c:f>Insights!$G$26:$G$28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F-41FC-97EA-E12BC99546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[Stroke_Risk_Analysis_Insights.xlsx]Insights!PivotTable9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Stroke Risk Analysis as per Alcohol Consumption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12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15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1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22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25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31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2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3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5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Insights!$V$39</c:f>
              <c:strCache>
                <c:ptCount val="1"/>
                <c:pt idx="0">
                  <c:v>Total Stroke Risk Score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A06-4216-B635-9CFFB79FB10E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A06-4216-B635-9CFFB79FB10E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E97132"/>
                </a:solidFill>
                <a:round/>
              </a:ln>
              <a:effectLst>
                <a:outerShdw blurRad="50800" dist="38100" dir="2700000" algn="tl" rotWithShape="0">
                  <a:srgbClr val="E9713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Insights!$U$40:$U$41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Insights!$V$40:$V$41</c:f>
              <c:numCache>
                <c:formatCode>General</c:formatCode>
                <c:ptCount val="2"/>
                <c:pt idx="0">
                  <c:v>4421</c:v>
                </c:pt>
                <c:pt idx="1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06-4216-B635-9CFFB79FB10E}"/>
            </c:ext>
          </c:extLst>
        </c:ser>
        <c:ser>
          <c:idx val="1"/>
          <c:order val="1"/>
          <c:tx>
            <c:strRef>
              <c:f>Insights!$W$39</c:f>
              <c:strCache>
                <c:ptCount val="1"/>
                <c:pt idx="0">
                  <c:v>Total Alcohol Consumers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7A06-4216-B635-9CFFB79FB10E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7A06-4216-B635-9CFFB79FB10E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Insights!$U$40:$U$41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Insights!$W$40:$W$41</c:f>
              <c:numCache>
                <c:formatCode>General</c:formatCode>
                <c:ptCount val="2"/>
                <c:pt idx="0">
                  <c:v>83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06-4216-B635-9CFFB79FB10E}"/>
            </c:ext>
          </c:extLst>
        </c:ser>
        <c:ser>
          <c:idx val="2"/>
          <c:order val="2"/>
          <c:tx>
            <c:strRef>
              <c:f>Insights!$X$39</c:f>
              <c:strCache>
                <c:ptCount val="1"/>
                <c:pt idx="0">
                  <c:v>Total Stroke Occurrence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A06-4216-B635-9CFFB79FB10E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A06-4216-B635-9CFFB79FB10E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06-4216-B635-9CFFB79FB10E}"/>
                </c:ext>
              </c:extLst>
            </c:dLbl>
            <c:dLbl>
              <c:idx val="1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06-4216-B635-9CFFB79FB10E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96B24"/>
                </a:solidFill>
                <a:round/>
              </a:ln>
              <a:effectLst>
                <a:outerShdw blurRad="50800" dist="38100" dir="2700000" algn="tl" rotWithShape="0">
                  <a:srgbClr val="196B2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Insights!$U$40:$U$41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Insights!$X$40:$X$41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A06-4216-B635-9CFFB79FB10E}"/>
            </c:ext>
          </c:extLst>
        </c:ser>
        <c:ser>
          <c:idx val="3"/>
          <c:order val="3"/>
          <c:tx>
            <c:strRef>
              <c:f>Insights!$Y$39</c:f>
              <c:strCache>
                <c:ptCount val="1"/>
                <c:pt idx="0">
                  <c:v>Patients suffering from Heart Disease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Insights!$U$40:$U$41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Insights!$Y$40:$Y$41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A06-4216-B635-9CFFB79FB1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[Stroke_Risk_Analysis_Insights.xlsx]Insights!PivotTable13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4000" b="1"/>
              <a:t>People</a:t>
            </a:r>
            <a:r>
              <a:rPr lang="en-IN" sz="4000" b="1" baseline="0"/>
              <a:t> at risk in comparision with Physical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Insights!$S$1</c:f>
              <c:strCache>
                <c:ptCount val="1"/>
                <c:pt idx="0">
                  <c:v>Total Stroke Risk Score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Insights!$R$2:$R$5</c:f>
              <c:strCache>
                <c:ptCount val="4"/>
                <c:pt idx="0">
                  <c:v>Active</c:v>
                </c:pt>
                <c:pt idx="1">
                  <c:v>Light</c:v>
                </c:pt>
                <c:pt idx="2">
                  <c:v>Moderate</c:v>
                </c:pt>
                <c:pt idx="3">
                  <c:v>Sedentary</c:v>
                </c:pt>
              </c:strCache>
            </c:strRef>
          </c:cat>
          <c:val>
            <c:numRef>
              <c:f>Insights!$S$2:$S$5</c:f>
              <c:numCache>
                <c:formatCode>General</c:formatCode>
                <c:ptCount val="4"/>
                <c:pt idx="0">
                  <c:v>655</c:v>
                </c:pt>
                <c:pt idx="1">
                  <c:v>1918</c:v>
                </c:pt>
                <c:pt idx="2">
                  <c:v>432</c:v>
                </c:pt>
                <c:pt idx="3">
                  <c:v>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E-4726-AB67-8F80BAC7F773}"/>
            </c:ext>
          </c:extLst>
        </c:ser>
        <c:ser>
          <c:idx val="1"/>
          <c:order val="1"/>
          <c:tx>
            <c:strRef>
              <c:f>Insights!$T$1</c:f>
              <c:strCache>
                <c:ptCount val="1"/>
                <c:pt idx="0">
                  <c:v>Total Stroke Occurrence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Insights!$R$2:$R$5</c:f>
              <c:strCache>
                <c:ptCount val="4"/>
                <c:pt idx="0">
                  <c:v>Active</c:v>
                </c:pt>
                <c:pt idx="1">
                  <c:v>Light</c:v>
                </c:pt>
                <c:pt idx="2">
                  <c:v>Moderate</c:v>
                </c:pt>
                <c:pt idx="3">
                  <c:v>Sedentary</c:v>
                </c:pt>
              </c:strCache>
            </c:strRef>
          </c:cat>
          <c:val>
            <c:numRef>
              <c:f>Insights!$T$2:$T$5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E-4726-AB67-8F80BAC7F773}"/>
            </c:ext>
          </c:extLst>
        </c:ser>
        <c:ser>
          <c:idx val="2"/>
          <c:order val="2"/>
          <c:tx>
            <c:strRef>
              <c:f>Insights!$U$1</c:f>
              <c:strCache>
                <c:ptCount val="1"/>
                <c:pt idx="0">
                  <c:v>Total Patients as per Smoking Status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Insights!$R$2:$R$5</c:f>
              <c:strCache>
                <c:ptCount val="4"/>
                <c:pt idx="0">
                  <c:v>Active</c:v>
                </c:pt>
                <c:pt idx="1">
                  <c:v>Light</c:v>
                </c:pt>
                <c:pt idx="2">
                  <c:v>Moderate</c:v>
                </c:pt>
                <c:pt idx="3">
                  <c:v>Sedentary</c:v>
                </c:pt>
              </c:strCache>
            </c:strRef>
          </c:cat>
          <c:val>
            <c:numRef>
              <c:f>Insights!$U$2:$U$5</c:f>
              <c:numCache>
                <c:formatCode>General</c:formatCode>
                <c:ptCount val="4"/>
                <c:pt idx="0">
                  <c:v>11</c:v>
                </c:pt>
                <c:pt idx="1">
                  <c:v>33</c:v>
                </c:pt>
                <c:pt idx="2">
                  <c:v>12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E-4726-AB67-8F80BAC7F7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5391344"/>
        <c:axId val="565375024"/>
      </c:barChart>
      <c:catAx>
        <c:axId val="5653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75024"/>
        <c:crosses val="autoZero"/>
        <c:auto val="1"/>
        <c:lblAlgn val="ctr"/>
        <c:lblOffset val="100"/>
        <c:noMultiLvlLbl val="0"/>
      </c:catAx>
      <c:valAx>
        <c:axId val="5653750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53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[Stroke_Risk_Analysis_Insights.xlsx]Insights!PivotTable12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Stroke Risk Analysis of people in Chronic Stress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Insights!$Q$48</c:f>
              <c:strCache>
                <c:ptCount val="1"/>
                <c:pt idx="0">
                  <c:v>Total Stroke Risk Score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Insights!$O$49:$P$56</c:f>
              <c:multiLvlStrCache>
                <c:ptCount val="6"/>
                <c:lvl>
                  <c:pt idx="0">
                    <c:v>High</c:v>
                  </c:pt>
                  <c:pt idx="1">
                    <c:v>Low</c:v>
                  </c:pt>
                  <c:pt idx="2">
                    <c:v>Middle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Middle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Insights!$Q$49:$Q$56</c:f>
              <c:numCache>
                <c:formatCode>General</c:formatCode>
                <c:ptCount val="6"/>
                <c:pt idx="0">
                  <c:v>879</c:v>
                </c:pt>
                <c:pt idx="1">
                  <c:v>1647</c:v>
                </c:pt>
                <c:pt idx="2">
                  <c:v>1422</c:v>
                </c:pt>
                <c:pt idx="3">
                  <c:v>333</c:v>
                </c:pt>
                <c:pt idx="4">
                  <c:v>629</c:v>
                </c:pt>
                <c:pt idx="5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1E8-8B47-2AAF32BE70A1}"/>
            </c:ext>
          </c:extLst>
        </c:ser>
        <c:ser>
          <c:idx val="1"/>
          <c:order val="1"/>
          <c:tx>
            <c:strRef>
              <c:f>Insights!$R$48</c:f>
              <c:strCache>
                <c:ptCount val="1"/>
                <c:pt idx="0">
                  <c:v>Total Patients having Chronic Stress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Insights!$O$49:$P$56</c:f>
              <c:multiLvlStrCache>
                <c:ptCount val="6"/>
                <c:lvl>
                  <c:pt idx="0">
                    <c:v>High</c:v>
                  </c:pt>
                  <c:pt idx="1">
                    <c:v>Low</c:v>
                  </c:pt>
                  <c:pt idx="2">
                    <c:v>Middle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Middle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Insights!$R$49:$R$56</c:f>
              <c:numCache>
                <c:formatCode>General</c:formatCode>
                <c:ptCount val="6"/>
                <c:pt idx="0">
                  <c:v>18</c:v>
                </c:pt>
                <c:pt idx="1">
                  <c:v>36</c:v>
                </c:pt>
                <c:pt idx="2">
                  <c:v>22</c:v>
                </c:pt>
                <c:pt idx="3">
                  <c:v>4</c:v>
                </c:pt>
                <c:pt idx="4">
                  <c:v>11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F-41E8-8B47-2AAF32BE70A1}"/>
            </c:ext>
          </c:extLst>
        </c:ser>
        <c:ser>
          <c:idx val="2"/>
          <c:order val="2"/>
          <c:tx>
            <c:strRef>
              <c:f>Insights!$S$48</c:f>
              <c:strCache>
                <c:ptCount val="1"/>
                <c:pt idx="0">
                  <c:v>Total Stroke Occurrence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Insights!$O$49:$P$56</c:f>
              <c:multiLvlStrCache>
                <c:ptCount val="6"/>
                <c:lvl>
                  <c:pt idx="0">
                    <c:v>High</c:v>
                  </c:pt>
                  <c:pt idx="1">
                    <c:v>Low</c:v>
                  </c:pt>
                  <c:pt idx="2">
                    <c:v>Middle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Middle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Insights!$S$49:$S$56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F-41E8-8B47-2AAF32BE7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47349360"/>
        <c:axId val="1247344080"/>
      </c:barChart>
      <c:catAx>
        <c:axId val="12473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44080"/>
        <c:crosses val="autoZero"/>
        <c:auto val="1"/>
        <c:lblAlgn val="ctr"/>
        <c:lblOffset val="100"/>
        <c:noMultiLvlLbl val="0"/>
      </c:catAx>
      <c:valAx>
        <c:axId val="1247344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4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[Stroke_Risk_Analysis_Insights.xlsx]Insights!PivotTable2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Stroke</a:t>
            </a:r>
            <a:r>
              <a:rPr lang="en-IN" sz="2400" baseline="0"/>
              <a:t> Risk Analysis among work segment</a:t>
            </a:r>
            <a:endParaRPr lang="en-IN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Insights!$J$54</c:f>
              <c:strCache>
                <c:ptCount val="1"/>
                <c:pt idx="0">
                  <c:v>Total Patients of Hypertension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Insights!$H$55:$I$74</c:f>
              <c:multiLvlStrCache>
                <c:ptCount val="15"/>
                <c:lvl>
                  <c:pt idx="0">
                    <c:v>High</c:v>
                  </c:pt>
                  <c:pt idx="1">
                    <c:v>Low</c:v>
                  </c:pt>
                  <c:pt idx="2">
                    <c:v>Middle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Low</c:v>
                  </c:pt>
                  <c:pt idx="8">
                    <c:v>Middle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Middle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Middle</c:v>
                  </c:pt>
                </c:lvl>
                <c:lvl>
                  <c:pt idx="0">
                    <c:v>Children</c:v>
                  </c:pt>
                  <c:pt idx="3">
                    <c:v>Government</c:v>
                  </c:pt>
                  <c:pt idx="6">
                    <c:v>Never Worked</c:v>
                  </c:pt>
                  <c:pt idx="9">
                    <c:v>Private</c:v>
                  </c:pt>
                  <c:pt idx="12">
                    <c:v>Self-employed</c:v>
                  </c:pt>
                </c:lvl>
              </c:multiLvlStrCache>
            </c:multiLvlStrRef>
          </c:cat>
          <c:val>
            <c:numRef>
              <c:f>Insights!$J$55:$J$74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3-45C2-9A3A-D9830159FFE4}"/>
            </c:ext>
          </c:extLst>
        </c:ser>
        <c:ser>
          <c:idx val="1"/>
          <c:order val="1"/>
          <c:tx>
            <c:strRef>
              <c:f>Insights!$K$54</c:f>
              <c:strCache>
                <c:ptCount val="1"/>
                <c:pt idx="0">
                  <c:v>Total Stroke Risk Score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Insights!$H$55:$I$74</c:f>
              <c:multiLvlStrCache>
                <c:ptCount val="15"/>
                <c:lvl>
                  <c:pt idx="0">
                    <c:v>High</c:v>
                  </c:pt>
                  <c:pt idx="1">
                    <c:v>Low</c:v>
                  </c:pt>
                  <c:pt idx="2">
                    <c:v>Middle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Low</c:v>
                  </c:pt>
                  <c:pt idx="8">
                    <c:v>Middle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Middle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Middle</c:v>
                  </c:pt>
                </c:lvl>
                <c:lvl>
                  <c:pt idx="0">
                    <c:v>Children</c:v>
                  </c:pt>
                  <c:pt idx="3">
                    <c:v>Government</c:v>
                  </c:pt>
                  <c:pt idx="6">
                    <c:v>Never Worked</c:v>
                  </c:pt>
                  <c:pt idx="9">
                    <c:v>Private</c:v>
                  </c:pt>
                  <c:pt idx="12">
                    <c:v>Self-employed</c:v>
                  </c:pt>
                </c:lvl>
              </c:multiLvlStrCache>
            </c:multiLvlStrRef>
          </c:cat>
          <c:val>
            <c:numRef>
              <c:f>Insights!$K$55:$K$74</c:f>
              <c:numCache>
                <c:formatCode>General</c:formatCode>
                <c:ptCount val="15"/>
                <c:pt idx="0">
                  <c:v>255</c:v>
                </c:pt>
                <c:pt idx="1">
                  <c:v>430</c:v>
                </c:pt>
                <c:pt idx="2">
                  <c:v>13</c:v>
                </c:pt>
                <c:pt idx="3">
                  <c:v>163</c:v>
                </c:pt>
                <c:pt idx="4">
                  <c:v>246</c:v>
                </c:pt>
                <c:pt idx="5">
                  <c:v>266</c:v>
                </c:pt>
                <c:pt idx="6">
                  <c:v>152</c:v>
                </c:pt>
                <c:pt idx="7">
                  <c:v>213</c:v>
                </c:pt>
                <c:pt idx="8">
                  <c:v>129</c:v>
                </c:pt>
                <c:pt idx="9">
                  <c:v>536</c:v>
                </c:pt>
                <c:pt idx="10">
                  <c:v>1097</c:v>
                </c:pt>
                <c:pt idx="11">
                  <c:v>809</c:v>
                </c:pt>
                <c:pt idx="12">
                  <c:v>106</c:v>
                </c:pt>
                <c:pt idx="13">
                  <c:v>290</c:v>
                </c:pt>
                <c:pt idx="14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13-45C2-9A3A-D9830159FFE4}"/>
            </c:ext>
          </c:extLst>
        </c:ser>
        <c:ser>
          <c:idx val="2"/>
          <c:order val="2"/>
          <c:tx>
            <c:strRef>
              <c:f>Insights!$L$54</c:f>
              <c:strCache>
                <c:ptCount val="1"/>
                <c:pt idx="0">
                  <c:v>Total Patients in each category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Insights!$H$55:$I$74</c:f>
              <c:multiLvlStrCache>
                <c:ptCount val="15"/>
                <c:lvl>
                  <c:pt idx="0">
                    <c:v>High</c:v>
                  </c:pt>
                  <c:pt idx="1">
                    <c:v>Low</c:v>
                  </c:pt>
                  <c:pt idx="2">
                    <c:v>Middle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Low</c:v>
                  </c:pt>
                  <c:pt idx="8">
                    <c:v>Middle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Middle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Middle</c:v>
                  </c:pt>
                </c:lvl>
                <c:lvl>
                  <c:pt idx="0">
                    <c:v>Children</c:v>
                  </c:pt>
                  <c:pt idx="3">
                    <c:v>Government</c:v>
                  </c:pt>
                  <c:pt idx="6">
                    <c:v>Never Worked</c:v>
                  </c:pt>
                  <c:pt idx="9">
                    <c:v>Private</c:v>
                  </c:pt>
                  <c:pt idx="12">
                    <c:v>Self-employed</c:v>
                  </c:pt>
                </c:lvl>
              </c:multiLvlStrCache>
            </c:multiLvlStrRef>
          </c:cat>
          <c:val>
            <c:numRef>
              <c:f>Insights!$L$55:$L$74</c:f>
              <c:numCache>
                <c:formatCode>General</c:formatCode>
                <c:ptCount val="15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9</c:v>
                </c:pt>
                <c:pt idx="10">
                  <c:v>23</c:v>
                </c:pt>
                <c:pt idx="11">
                  <c:v>13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13-45C2-9A3A-D9830159FF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24104592"/>
        <c:axId val="724098352"/>
      </c:lineChart>
      <c:catAx>
        <c:axId val="7241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98352"/>
        <c:crosses val="autoZero"/>
        <c:auto val="1"/>
        <c:lblAlgn val="ctr"/>
        <c:lblOffset val="100"/>
        <c:noMultiLvlLbl val="0"/>
      </c:catAx>
      <c:valAx>
        <c:axId val="7240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[Stroke_Risk_Analysis_Insights.xlsx]Insights!PivotTable1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Patient</a:t>
            </a:r>
            <a:r>
              <a:rPr lang="en-IN" sz="2000" baseline="0"/>
              <a:t>s at Stroke risk because of their eating habits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Insights!$V$69</c:f>
              <c:strCache>
                <c:ptCount val="1"/>
                <c:pt idx="0">
                  <c:v>Sum of Stroke Risk Score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Insights!$U$70:$U$72</c:f>
              <c:strCache>
                <c:ptCount val="3"/>
                <c:pt idx="0">
                  <c:v>Mixed</c:v>
                </c:pt>
                <c:pt idx="1">
                  <c:v>Non-Vegetarian</c:v>
                </c:pt>
                <c:pt idx="2">
                  <c:v>Vegetarian</c:v>
                </c:pt>
              </c:strCache>
            </c:strRef>
          </c:cat>
          <c:val>
            <c:numRef>
              <c:f>Insights!$V$70:$V$72</c:f>
              <c:numCache>
                <c:formatCode>General</c:formatCode>
                <c:ptCount val="3"/>
                <c:pt idx="0">
                  <c:v>970</c:v>
                </c:pt>
                <c:pt idx="1">
                  <c:v>2297</c:v>
                </c:pt>
                <c:pt idx="2">
                  <c:v>2053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C-4904-9438-76A89764354F}"/>
            </c:ext>
          </c:extLst>
        </c:ser>
        <c:ser>
          <c:idx val="1"/>
          <c:order val="1"/>
          <c:tx>
            <c:strRef>
              <c:f>Insights!$W$69</c:f>
              <c:strCache>
                <c:ptCount val="1"/>
                <c:pt idx="0">
                  <c:v>Sum of Stroke Occurrence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Insights!$U$70:$U$72</c:f>
              <c:strCache>
                <c:ptCount val="3"/>
                <c:pt idx="0">
                  <c:v>Mixed</c:v>
                </c:pt>
                <c:pt idx="1">
                  <c:v>Non-Vegetarian</c:v>
                </c:pt>
                <c:pt idx="2">
                  <c:v>Vegetarian</c:v>
                </c:pt>
              </c:strCache>
            </c:strRef>
          </c:cat>
          <c:val>
            <c:numRef>
              <c:f>Insights!$W$70:$W$72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C-4904-9438-76A89764354F}"/>
            </c:ext>
          </c:extLst>
        </c:ser>
        <c:ser>
          <c:idx val="2"/>
          <c:order val="2"/>
          <c:tx>
            <c:strRef>
              <c:f>Insights!$X$69</c:f>
              <c:strCache>
                <c:ptCount val="1"/>
                <c:pt idx="0">
                  <c:v>Sum of Heart Disease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Insights!$U$70:$U$72</c:f>
              <c:strCache>
                <c:ptCount val="3"/>
                <c:pt idx="0">
                  <c:v>Mixed</c:v>
                </c:pt>
                <c:pt idx="1">
                  <c:v>Non-Vegetarian</c:v>
                </c:pt>
                <c:pt idx="2">
                  <c:v>Vegetarian</c:v>
                </c:pt>
              </c:strCache>
            </c:strRef>
          </c:cat>
          <c:val>
            <c:numRef>
              <c:f>Insights!$X$70:$X$72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FC-4904-9438-76A8976435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1402335"/>
        <c:axId val="891387935"/>
      </c:lineChart>
      <c:catAx>
        <c:axId val="89140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387935"/>
        <c:crosses val="autoZero"/>
        <c:auto val="1"/>
        <c:lblAlgn val="ctr"/>
        <c:lblOffset val="100"/>
        <c:noMultiLvlLbl val="0"/>
      </c:catAx>
      <c:valAx>
        <c:axId val="8913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0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</xdr:row>
      <xdr:rowOff>34290</xdr:rowOff>
    </xdr:from>
    <xdr:to>
      <xdr:col>2</xdr:col>
      <xdr:colOff>1242060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B5A0F-83BB-47AE-AF8B-457685974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170632</xdr:colOff>
      <xdr:row>0</xdr:row>
      <xdr:rowOff>41564</xdr:rowOff>
    </xdr:from>
    <xdr:to>
      <xdr:col>10</xdr:col>
      <xdr:colOff>263236</xdr:colOff>
      <xdr:row>22</xdr:row>
      <xdr:rowOff>55418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A02E81-3BA8-4288-8451-58847365C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55416</xdr:rowOff>
    </xdr:from>
    <xdr:to>
      <xdr:col>4</xdr:col>
      <xdr:colOff>3873500</xdr:colOff>
      <xdr:row>44</xdr:row>
      <xdr:rowOff>180107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721F86-76A7-4EA0-B7BC-F40F26781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52</xdr:row>
      <xdr:rowOff>78228</xdr:rowOff>
    </xdr:from>
    <xdr:to>
      <xdr:col>5</xdr:col>
      <xdr:colOff>10002</xdr:colOff>
      <xdr:row>81</xdr:row>
      <xdr:rowOff>41564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D27C10-E513-4A6A-93B2-C2ECDB1B2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710956</xdr:colOff>
      <xdr:row>19</xdr:row>
      <xdr:rowOff>129976</xdr:rowOff>
    </xdr:from>
    <xdr:to>
      <xdr:col>16</xdr:col>
      <xdr:colOff>1066800</xdr:colOff>
      <xdr:row>45</xdr:row>
      <xdr:rowOff>65809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10C525-27AC-41DC-B21F-581579D1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1854836</xdr:colOff>
      <xdr:row>29</xdr:row>
      <xdr:rowOff>145230</xdr:rowOff>
    </xdr:from>
    <xdr:to>
      <xdr:col>8</xdr:col>
      <xdr:colOff>1209386</xdr:colOff>
      <xdr:row>48</xdr:row>
      <xdr:rowOff>223982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3F56D8-0D5F-41F6-8065-46E10F433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1197906</xdr:colOff>
      <xdr:row>41</xdr:row>
      <xdr:rowOff>143403</xdr:rowOff>
    </xdr:from>
    <xdr:to>
      <xdr:col>24</xdr:col>
      <xdr:colOff>1175203</xdr:colOff>
      <xdr:row>66</xdr:row>
      <xdr:rowOff>129551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56FF0884-9410-4114-8FBF-441D7899C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2001982</xdr:colOff>
      <xdr:row>5</xdr:row>
      <xdr:rowOff>96982</xdr:rowOff>
    </xdr:from>
    <xdr:to>
      <xdr:col>22</xdr:col>
      <xdr:colOff>152401</xdr:colOff>
      <xdr:row>36</xdr:row>
      <xdr:rowOff>83127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50A5EC-DFA9-4997-89D1-97DDFF8B3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267098</xdr:colOff>
      <xdr:row>57</xdr:row>
      <xdr:rowOff>23393</xdr:rowOff>
    </xdr:from>
    <xdr:to>
      <xdr:col>19</xdr:col>
      <xdr:colOff>275500</xdr:colOff>
      <xdr:row>86</xdr:row>
      <xdr:rowOff>51102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62810D-18CD-4136-A2F4-47C9DB339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476248</xdr:colOff>
      <xdr:row>75</xdr:row>
      <xdr:rowOff>156934</xdr:rowOff>
    </xdr:from>
    <xdr:to>
      <xdr:col>12</xdr:col>
      <xdr:colOff>1229178</xdr:colOff>
      <xdr:row>106</xdr:row>
      <xdr:rowOff>140606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87FAA4-6D78-467E-B2CC-526105F87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2553888</xdr:colOff>
      <xdr:row>72</xdr:row>
      <xdr:rowOff>182165</xdr:rowOff>
    </xdr:from>
    <xdr:to>
      <xdr:col>24</xdr:col>
      <xdr:colOff>95249</xdr:colOff>
      <xdr:row>86</xdr:row>
      <xdr:rowOff>35719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69FBCA-A1F2-443F-8A6B-FE2FED7BE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Unguided%20%20project%201%20Medical%20History%2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r Chopra" refreshedDate="46142.983466898149" createdVersion="8" refreshedVersion="8" minRefreshableVersion="3" recordCount="96" xr:uid="{9DDFA6B2-B13A-427A-BA7D-13BAE307B940}">
  <cacheSource type="worksheet">
    <worksheetSource name="Medical_history" r:id="rId2"/>
  </cacheSource>
  <cacheFields count="25">
    <cacheField name="ID" numFmtId="0">
      <sharedItems containsSemiMixedTypes="0" containsString="0" containsNumber="1" containsInteger="1" minValue="1" maxValue="96" count="9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</sharedItems>
    </cacheField>
    <cacheField name="Data collection date" numFmtId="164">
      <sharedItems containsSemiMixedTypes="0" containsNonDate="0" containsDate="1" containsString="0" minDate="2024-04-20T00:00:00" maxDate="2024-07-12T00:00:00"/>
    </cacheField>
    <cacheField name="Age" numFmtId="0">
      <sharedItems containsSemiMixedTypes="0" containsString="0" containsNumber="1" containsInteger="1" minValue="19" maxValue="89" count="53">
        <n v="78"/>
        <n v="60"/>
        <n v="69"/>
        <n v="43"/>
        <n v="30"/>
        <n v="53"/>
        <n v="83"/>
        <n v="62"/>
        <n v="35"/>
        <n v="71"/>
        <n v="79"/>
        <n v="50"/>
        <n v="25"/>
        <n v="81"/>
        <n v="80"/>
        <n v="45"/>
        <n v="47"/>
        <n v="48"/>
        <n v="22"/>
        <n v="70"/>
        <n v="64"/>
        <n v="56"/>
        <n v="75"/>
        <n v="77"/>
        <n v="24"/>
        <n v="57"/>
        <n v="86"/>
        <n v="38"/>
        <n v="54"/>
        <n v="33"/>
        <n v="52"/>
        <n v="89"/>
        <n v="85"/>
        <n v="19"/>
        <n v="34"/>
        <n v="40"/>
        <n v="36"/>
        <n v="76"/>
        <n v="44"/>
        <n v="88"/>
        <n v="59"/>
        <n v="84"/>
        <n v="87"/>
        <n v="82"/>
        <n v="46"/>
        <n v="72"/>
        <n v="66"/>
        <n v="41"/>
        <n v="61"/>
        <n v="20"/>
        <n v="42"/>
        <n v="68"/>
        <n v="65"/>
      </sharedItems>
    </cacheField>
    <cacheField name="Gender" numFmtId="0">
      <sharedItems count="3">
        <s v="Female"/>
        <s v="Male"/>
        <s v="Other"/>
      </sharedItems>
    </cacheField>
    <cacheField name="Full Name" numFmtId="0">
      <sharedItems/>
    </cacheField>
    <cacheField name="Hypertension" numFmtId="0">
      <sharedItems containsSemiMixedTypes="0" containsString="0" containsNumber="1" containsInteger="1" minValue="0" maxValue="1" count="2">
        <n v="0"/>
        <n v="1"/>
      </sharedItems>
    </cacheField>
    <cacheField name="Heart Disease" numFmtId="0">
      <sharedItems containsSemiMixedTypes="0" containsString="0" containsNumber="1" containsInteger="1" minValue="0" maxValue="1"/>
    </cacheField>
    <cacheField name="Ever Married" numFmtId="0">
      <sharedItems containsSemiMixedTypes="0" containsString="0" containsNumber="1" containsInteger="1" minValue="0" maxValue="1"/>
    </cacheField>
    <cacheField name="Work Type" numFmtId="0">
      <sharedItems count="5">
        <s v="Private"/>
        <s v="Never Worked"/>
        <s v="Government"/>
        <s v="Children"/>
        <s v="Self-employed"/>
      </sharedItems>
    </cacheField>
    <cacheField name="Residence Type" numFmtId="0">
      <sharedItems count="2">
        <s v="Rural"/>
        <s v="Urban"/>
      </sharedItems>
    </cacheField>
    <cacheField name="Average Glucose Level" numFmtId="0">
      <sharedItems containsSemiMixedTypes="0" containsString="0" containsNumber="1" minValue="79.48" maxValue="297.68"/>
    </cacheField>
    <cacheField name="BMI" numFmtId="0">
      <sharedItems containsSemiMixedTypes="0" containsString="0" containsNumber="1" minValue="10" maxValue="49.9"/>
    </cacheField>
    <cacheField name="Smoking Status" numFmtId="0">
      <sharedItems count="4">
        <s v="Formerly smoked"/>
        <s v="Never smoked"/>
        <s v="Unknown"/>
        <s v="Smokes"/>
      </sharedItems>
    </cacheField>
    <cacheField name="Physical Activity" numFmtId="0">
      <sharedItems count="4">
        <s v="Sedentary"/>
        <s v="Light"/>
        <s v="Active"/>
        <s v="Moderate"/>
      </sharedItems>
    </cacheField>
    <cacheField name="Dietary Habits" numFmtId="0">
      <sharedItems count="3">
        <s v="Non-Vegetarian"/>
        <s v="Vegetarian"/>
        <s v="Mixed"/>
      </sharedItems>
    </cacheField>
    <cacheField name="Alcohol Consumption" numFmtId="0">
      <sharedItems count="2">
        <s v="No"/>
        <s v="Yes"/>
      </sharedItems>
    </cacheField>
    <cacheField name="Chronic Stress" numFmtId="0">
      <sharedItems count="2">
        <s v="No"/>
        <s v="Yes"/>
      </sharedItems>
    </cacheField>
    <cacheField name="Sleep Hours" numFmtId="0">
      <sharedItems containsSemiMixedTypes="0" containsString="0" containsNumber="1" containsInteger="1" minValue="3" maxValue="12"/>
    </cacheField>
    <cacheField name="Family History of Stroke" numFmtId="0">
      <sharedItems containsSemiMixedTypes="0" containsString="0" containsNumber="1" containsInteger="1" minValue="0" maxValue="1"/>
    </cacheField>
    <cacheField name="Education Level" numFmtId="0">
      <sharedItems/>
    </cacheField>
    <cacheField name="Income Level" numFmtId="0">
      <sharedItems count="3">
        <s v="Middle"/>
        <s v="High"/>
        <s v="Low"/>
      </sharedItems>
    </cacheField>
    <cacheField name="Stroke Risk Score" numFmtId="0">
      <sharedItems containsSemiMixedTypes="0" containsString="0" containsNumber="1" containsInteger="1" minValue="3" maxValue="100"/>
    </cacheField>
    <cacheField name="Region" numFmtId="0">
      <sharedItems/>
    </cacheField>
    <cacheField name="Stroke Occurrence" numFmtId="0">
      <sharedItems containsSemiMixedTypes="0" containsString="0" containsNumber="1" containsInteger="1" minValue="0" maxValue="1" count="2">
        <n v="0"/>
        <n v="1"/>
      </sharedItems>
    </cacheField>
    <cacheField name="Age Segment" numFmtId="0">
      <sharedItems count="3">
        <s v="Senior"/>
        <s v="Middle"/>
        <s v="You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d v="2024-04-20T00:00:00"/>
    <x v="0"/>
    <x v="0"/>
    <s v="A. Roy"/>
    <x v="0"/>
    <n v="0"/>
    <n v="1"/>
    <x v="0"/>
    <x v="0"/>
    <n v="267.3"/>
    <n v="36.200000000000003"/>
    <x v="0"/>
    <x v="0"/>
    <x v="0"/>
    <x v="0"/>
    <x v="0"/>
    <n v="11"/>
    <n v="0"/>
    <s v="Tertiary"/>
    <x v="0"/>
    <n v="88"/>
    <s v="South"/>
    <x v="0"/>
    <x v="0"/>
  </r>
  <r>
    <x v="1"/>
    <d v="2024-04-20T00:00:00"/>
    <x v="1"/>
    <x v="0"/>
    <s v="A. Shenoy"/>
    <x v="0"/>
    <n v="0"/>
    <n v="0"/>
    <x v="0"/>
    <x v="0"/>
    <n v="207.24"/>
    <n v="19.8"/>
    <x v="1"/>
    <x v="1"/>
    <x v="1"/>
    <x v="0"/>
    <x v="0"/>
    <n v="9"/>
    <n v="0"/>
    <s v="Secondary"/>
    <x v="1"/>
    <n v="56"/>
    <s v="East"/>
    <x v="0"/>
    <x v="0"/>
  </r>
  <r>
    <x v="2"/>
    <d v="2024-04-20T00:00:00"/>
    <x v="2"/>
    <x v="1"/>
    <s v="S. Geloy"/>
    <x v="0"/>
    <n v="0"/>
    <n v="0"/>
    <x v="0"/>
    <x v="1"/>
    <n v="161.30000000000001"/>
    <n v="34.5"/>
    <x v="1"/>
    <x v="0"/>
    <x v="2"/>
    <x v="1"/>
    <x v="0"/>
    <n v="3"/>
    <n v="0"/>
    <s v="Secondary"/>
    <x v="1"/>
    <n v="63"/>
    <s v="North"/>
    <x v="1"/>
    <x v="0"/>
  </r>
  <r>
    <x v="3"/>
    <d v="2024-04-20T00:00:00"/>
    <x v="3"/>
    <x v="1"/>
    <s v="G. Messy"/>
    <x v="0"/>
    <n v="0"/>
    <n v="1"/>
    <x v="1"/>
    <x v="1"/>
    <n v="247.49"/>
    <n v="48.8"/>
    <x v="1"/>
    <x v="2"/>
    <x v="2"/>
    <x v="0"/>
    <x v="1"/>
    <n v="4"/>
    <n v="0"/>
    <s v="Tertiary"/>
    <x v="0"/>
    <n v="93"/>
    <s v="South"/>
    <x v="0"/>
    <x v="1"/>
  </r>
  <r>
    <x v="4"/>
    <d v="2024-04-21T00:00:00"/>
    <x v="4"/>
    <x v="0"/>
    <s v="B. Bern"/>
    <x v="0"/>
    <n v="0"/>
    <n v="1"/>
    <x v="2"/>
    <x v="1"/>
    <n v="116.57"/>
    <n v="31.3"/>
    <x v="0"/>
    <x v="1"/>
    <x v="2"/>
    <x v="0"/>
    <x v="1"/>
    <n v="9"/>
    <n v="0"/>
    <s v="Secondary"/>
    <x v="1"/>
    <n v="99"/>
    <s v="West"/>
    <x v="0"/>
    <x v="2"/>
  </r>
  <r>
    <x v="5"/>
    <d v="2024-04-22T00:00:00"/>
    <x v="5"/>
    <x v="1"/>
    <s v="S. Bush"/>
    <x v="1"/>
    <n v="0"/>
    <n v="1"/>
    <x v="2"/>
    <x v="1"/>
    <n v="220.62"/>
    <n v="49.9"/>
    <x v="1"/>
    <x v="2"/>
    <x v="0"/>
    <x v="0"/>
    <x v="1"/>
    <n v="7"/>
    <n v="0"/>
    <s v="No education"/>
    <x v="2"/>
    <n v="56"/>
    <s v="North"/>
    <x v="0"/>
    <x v="1"/>
  </r>
  <r>
    <x v="6"/>
    <d v="2024-04-22T00:00:00"/>
    <x v="6"/>
    <x v="0"/>
    <s v="W. Bern"/>
    <x v="0"/>
    <n v="0"/>
    <n v="0"/>
    <x v="3"/>
    <x v="1"/>
    <n v="193.32"/>
    <n v="46.8"/>
    <x v="1"/>
    <x v="0"/>
    <x v="1"/>
    <x v="0"/>
    <x v="0"/>
    <n v="5"/>
    <n v="0"/>
    <s v="Secondary"/>
    <x v="1"/>
    <n v="87"/>
    <s v="South"/>
    <x v="0"/>
    <x v="0"/>
  </r>
  <r>
    <x v="7"/>
    <d v="2024-04-22T00:00:00"/>
    <x v="3"/>
    <x v="0"/>
    <s v="N. Jordan"/>
    <x v="0"/>
    <n v="0"/>
    <n v="0"/>
    <x v="1"/>
    <x v="1"/>
    <n v="198.59"/>
    <n v="23.3"/>
    <x v="1"/>
    <x v="1"/>
    <x v="2"/>
    <x v="0"/>
    <x v="0"/>
    <n v="10"/>
    <n v="0"/>
    <s v="Primary"/>
    <x v="2"/>
    <n v="5"/>
    <s v="North"/>
    <x v="0"/>
    <x v="1"/>
  </r>
  <r>
    <x v="8"/>
    <d v="2024-04-22T00:00:00"/>
    <x v="7"/>
    <x v="1"/>
    <s v="M. Jordan"/>
    <x v="1"/>
    <n v="0"/>
    <n v="0"/>
    <x v="3"/>
    <x v="0"/>
    <n v="117.81"/>
    <n v="16.5"/>
    <x v="2"/>
    <x v="0"/>
    <x v="0"/>
    <x v="1"/>
    <x v="0"/>
    <n v="8"/>
    <n v="1"/>
    <s v="Secondary"/>
    <x v="2"/>
    <n v="98"/>
    <s v="East"/>
    <x v="0"/>
    <x v="0"/>
  </r>
  <r>
    <x v="9"/>
    <d v="2024-04-22T00:00:00"/>
    <x v="8"/>
    <x v="1"/>
    <s v="A. Sundar"/>
    <x v="0"/>
    <n v="0"/>
    <n v="0"/>
    <x v="2"/>
    <x v="1"/>
    <n v="289.08999999999997"/>
    <n v="37"/>
    <x v="1"/>
    <x v="1"/>
    <x v="1"/>
    <x v="0"/>
    <x v="0"/>
    <n v="8"/>
    <n v="0"/>
    <s v="Tertiary"/>
    <x v="0"/>
    <n v="94"/>
    <s v="East"/>
    <x v="0"/>
    <x v="1"/>
  </r>
  <r>
    <x v="10"/>
    <d v="2024-04-26T00:00:00"/>
    <x v="6"/>
    <x v="1"/>
    <s v="L. Armstrong"/>
    <x v="0"/>
    <n v="0"/>
    <n v="1"/>
    <x v="0"/>
    <x v="1"/>
    <n v="150.86000000000001"/>
    <n v="34.299999999999997"/>
    <x v="1"/>
    <x v="3"/>
    <x v="0"/>
    <x v="0"/>
    <x v="0"/>
    <n v="4"/>
    <n v="0"/>
    <s v="Primary"/>
    <x v="0"/>
    <n v="31"/>
    <s v="South"/>
    <x v="0"/>
    <x v="0"/>
  </r>
  <r>
    <x v="11"/>
    <d v="2024-04-27T00:00:00"/>
    <x v="9"/>
    <x v="1"/>
    <s v="M. Fritzler"/>
    <x v="0"/>
    <n v="0"/>
    <n v="1"/>
    <x v="0"/>
    <x v="1"/>
    <n v="254.9"/>
    <n v="49.5"/>
    <x v="1"/>
    <x v="1"/>
    <x v="0"/>
    <x v="0"/>
    <x v="0"/>
    <n v="6"/>
    <n v="1"/>
    <s v="Secondary"/>
    <x v="1"/>
    <n v="30"/>
    <s v="South"/>
    <x v="0"/>
    <x v="0"/>
  </r>
  <r>
    <x v="12"/>
    <d v="2024-04-28T00:00:00"/>
    <x v="10"/>
    <x v="1"/>
    <s v="K. Black"/>
    <x v="0"/>
    <n v="0"/>
    <n v="0"/>
    <x v="4"/>
    <x v="0"/>
    <n v="164.44"/>
    <n v="11.4"/>
    <x v="1"/>
    <x v="0"/>
    <x v="0"/>
    <x v="0"/>
    <x v="0"/>
    <n v="10"/>
    <n v="0"/>
    <s v="Secondary"/>
    <x v="2"/>
    <n v="72"/>
    <s v="South"/>
    <x v="0"/>
    <x v="0"/>
  </r>
  <r>
    <x v="13"/>
    <d v="2024-04-29T00:00:00"/>
    <x v="11"/>
    <x v="1"/>
    <s v="J. Bell-"/>
    <x v="0"/>
    <n v="0"/>
    <n v="1"/>
    <x v="4"/>
    <x v="0"/>
    <n v="142.49"/>
    <n v="15.2"/>
    <x v="1"/>
    <x v="0"/>
    <x v="0"/>
    <x v="0"/>
    <x v="0"/>
    <n v="4"/>
    <n v="0"/>
    <s v="Primary"/>
    <x v="0"/>
    <n v="67"/>
    <s v="North"/>
    <x v="1"/>
    <x v="1"/>
  </r>
  <r>
    <x v="14"/>
    <d v="2024-04-30T00:00:00"/>
    <x v="12"/>
    <x v="1"/>
    <s v="D. Eno"/>
    <x v="0"/>
    <n v="0"/>
    <n v="1"/>
    <x v="2"/>
    <x v="0"/>
    <n v="218.1"/>
    <n v="36.5"/>
    <x v="0"/>
    <x v="0"/>
    <x v="0"/>
    <x v="0"/>
    <x v="0"/>
    <n v="11"/>
    <n v="0"/>
    <s v="Secondary"/>
    <x v="2"/>
    <n v="19"/>
    <s v="West"/>
    <x v="0"/>
    <x v="2"/>
  </r>
  <r>
    <x v="15"/>
    <d v="2024-04-30T00:00:00"/>
    <x v="13"/>
    <x v="0"/>
    <s v="D. percer"/>
    <x v="0"/>
    <n v="0"/>
    <n v="0"/>
    <x v="0"/>
    <x v="0"/>
    <n v="245.06"/>
    <n v="10.9"/>
    <x v="1"/>
    <x v="1"/>
    <x v="1"/>
    <x v="0"/>
    <x v="0"/>
    <n v="4"/>
    <n v="0"/>
    <s v="Primary"/>
    <x v="2"/>
    <n v="8"/>
    <s v="West"/>
    <x v="0"/>
    <x v="0"/>
  </r>
  <r>
    <x v="16"/>
    <d v="2024-04-30T00:00:00"/>
    <x v="14"/>
    <x v="1"/>
    <s v="R. Collins"/>
    <x v="0"/>
    <n v="1"/>
    <n v="1"/>
    <x v="0"/>
    <x v="1"/>
    <n v="266.20999999999998"/>
    <n v="18.899999999999999"/>
    <x v="0"/>
    <x v="2"/>
    <x v="1"/>
    <x v="0"/>
    <x v="0"/>
    <n v="6"/>
    <n v="0"/>
    <s v="Primary"/>
    <x v="0"/>
    <n v="53"/>
    <s v="East"/>
    <x v="0"/>
    <x v="0"/>
  </r>
  <r>
    <x v="17"/>
    <d v="2024-04-30T00:00:00"/>
    <x v="15"/>
    <x v="0"/>
    <s v="W. Brown"/>
    <x v="0"/>
    <n v="0"/>
    <n v="1"/>
    <x v="4"/>
    <x v="0"/>
    <n v="221.45"/>
    <n v="34.5"/>
    <x v="0"/>
    <x v="1"/>
    <x v="0"/>
    <x v="0"/>
    <x v="0"/>
    <n v="10"/>
    <n v="0"/>
    <s v="Secondary"/>
    <x v="2"/>
    <n v="63"/>
    <s v="North"/>
    <x v="0"/>
    <x v="1"/>
  </r>
  <r>
    <x v="18"/>
    <d v="2024-04-30T00:00:00"/>
    <x v="16"/>
    <x v="1"/>
    <s v="B. Eplett"/>
    <x v="0"/>
    <n v="0"/>
    <n v="1"/>
    <x v="0"/>
    <x v="0"/>
    <n v="131.46"/>
    <n v="24"/>
    <x v="1"/>
    <x v="0"/>
    <x v="1"/>
    <x v="0"/>
    <x v="1"/>
    <n v="4"/>
    <n v="0"/>
    <s v="No education"/>
    <x v="2"/>
    <n v="100"/>
    <s v="West"/>
    <x v="0"/>
    <x v="1"/>
  </r>
  <r>
    <x v="19"/>
    <d v="2024-04-30T00:00:00"/>
    <x v="13"/>
    <x v="1"/>
    <s v="E. Hoffmann"/>
    <x v="0"/>
    <n v="0"/>
    <n v="1"/>
    <x v="0"/>
    <x v="1"/>
    <n v="275.52"/>
    <n v="26.6"/>
    <x v="1"/>
    <x v="2"/>
    <x v="1"/>
    <x v="0"/>
    <x v="0"/>
    <n v="9"/>
    <n v="0"/>
    <s v="Primary"/>
    <x v="2"/>
    <n v="10"/>
    <s v="East"/>
    <x v="0"/>
    <x v="0"/>
  </r>
  <r>
    <x v="20"/>
    <d v="2024-04-30T00:00:00"/>
    <x v="2"/>
    <x v="1"/>
    <s v="C. Clark"/>
    <x v="0"/>
    <n v="0"/>
    <n v="1"/>
    <x v="0"/>
    <x v="0"/>
    <n v="81.77"/>
    <n v="12.6"/>
    <x v="1"/>
    <x v="0"/>
    <x v="1"/>
    <x v="0"/>
    <x v="0"/>
    <n v="11"/>
    <n v="0"/>
    <s v="Tertiary"/>
    <x v="2"/>
    <n v="95"/>
    <s v="West"/>
    <x v="0"/>
    <x v="0"/>
  </r>
  <r>
    <x v="21"/>
    <d v="2024-04-30T00:00:00"/>
    <x v="17"/>
    <x v="1"/>
    <s v="D. Lloyd"/>
    <x v="0"/>
    <n v="0"/>
    <n v="0"/>
    <x v="0"/>
    <x v="1"/>
    <n v="150.87"/>
    <n v="24.1"/>
    <x v="1"/>
    <x v="1"/>
    <x v="0"/>
    <x v="0"/>
    <x v="0"/>
    <n v="3"/>
    <n v="0"/>
    <s v="Primary"/>
    <x v="0"/>
    <n v="31"/>
    <s v="South"/>
    <x v="0"/>
    <x v="1"/>
  </r>
  <r>
    <x v="22"/>
    <d v="2024-04-30T00:00:00"/>
    <x v="18"/>
    <x v="0"/>
    <s v="T. Dahlen"/>
    <x v="0"/>
    <n v="0"/>
    <n v="0"/>
    <x v="0"/>
    <x v="1"/>
    <n v="244.7"/>
    <n v="32.799999999999997"/>
    <x v="0"/>
    <x v="0"/>
    <x v="0"/>
    <x v="0"/>
    <x v="0"/>
    <n v="6"/>
    <n v="0"/>
    <s v="Secondary"/>
    <x v="2"/>
    <n v="65"/>
    <s v="South"/>
    <x v="0"/>
    <x v="2"/>
  </r>
  <r>
    <x v="23"/>
    <d v="2024-05-01T00:00:00"/>
    <x v="19"/>
    <x v="0"/>
    <s v="P. Gonzalez"/>
    <x v="0"/>
    <n v="0"/>
    <n v="0"/>
    <x v="0"/>
    <x v="1"/>
    <n v="214.01"/>
    <n v="17.2"/>
    <x v="0"/>
    <x v="0"/>
    <x v="2"/>
    <x v="0"/>
    <x v="1"/>
    <n v="12"/>
    <n v="0"/>
    <s v="Secondary"/>
    <x v="2"/>
    <n v="16"/>
    <s v="West"/>
    <x v="0"/>
    <x v="0"/>
  </r>
  <r>
    <x v="24"/>
    <d v="2024-05-01T00:00:00"/>
    <x v="20"/>
    <x v="1"/>
    <s v="F. Preis"/>
    <x v="0"/>
    <n v="0"/>
    <n v="0"/>
    <x v="0"/>
    <x v="1"/>
    <n v="157.5"/>
    <n v="48.9"/>
    <x v="1"/>
    <x v="0"/>
    <x v="1"/>
    <x v="0"/>
    <x v="0"/>
    <n v="8"/>
    <n v="0"/>
    <s v="Secondary"/>
    <x v="2"/>
    <n v="77"/>
    <s v="North"/>
    <x v="0"/>
    <x v="0"/>
  </r>
  <r>
    <x v="25"/>
    <d v="2024-05-02T00:00:00"/>
    <x v="18"/>
    <x v="1"/>
    <s v="B. Talbott"/>
    <x v="0"/>
    <n v="0"/>
    <n v="0"/>
    <x v="0"/>
    <x v="1"/>
    <n v="288.63"/>
    <n v="45.3"/>
    <x v="1"/>
    <x v="1"/>
    <x v="0"/>
    <x v="0"/>
    <x v="1"/>
    <n v="3"/>
    <n v="0"/>
    <s v="Primary"/>
    <x v="2"/>
    <n v="77"/>
    <s v="South"/>
    <x v="0"/>
    <x v="2"/>
  </r>
  <r>
    <x v="26"/>
    <d v="2024-05-03T00:00:00"/>
    <x v="21"/>
    <x v="1"/>
    <s v="T. Braunhardt"/>
    <x v="1"/>
    <n v="0"/>
    <n v="0"/>
    <x v="4"/>
    <x v="1"/>
    <n v="177.89"/>
    <n v="32.5"/>
    <x v="0"/>
    <x v="0"/>
    <x v="0"/>
    <x v="0"/>
    <x v="0"/>
    <n v="3"/>
    <n v="0"/>
    <s v="Tertiary"/>
    <x v="1"/>
    <n v="18"/>
    <s v="West"/>
    <x v="0"/>
    <x v="1"/>
  </r>
  <r>
    <x v="27"/>
    <d v="2024-05-04T00:00:00"/>
    <x v="22"/>
    <x v="1"/>
    <s v="C. Brittain"/>
    <x v="0"/>
    <n v="0"/>
    <n v="0"/>
    <x v="2"/>
    <x v="1"/>
    <n v="169.66"/>
    <n v="10"/>
    <x v="1"/>
    <x v="1"/>
    <x v="1"/>
    <x v="1"/>
    <x v="0"/>
    <n v="11"/>
    <n v="0"/>
    <s v="Tertiary"/>
    <x v="0"/>
    <n v="88"/>
    <s v="South"/>
    <x v="0"/>
    <x v="0"/>
  </r>
  <r>
    <x v="28"/>
    <d v="2024-05-05T00:00:00"/>
    <x v="23"/>
    <x v="1"/>
    <s v="C. Bergmann"/>
    <x v="0"/>
    <n v="0"/>
    <n v="0"/>
    <x v="4"/>
    <x v="1"/>
    <n v="84.55"/>
    <n v="18.2"/>
    <x v="0"/>
    <x v="3"/>
    <x v="0"/>
    <x v="0"/>
    <x v="1"/>
    <n v="12"/>
    <n v="0"/>
    <s v="Secondary"/>
    <x v="2"/>
    <n v="21"/>
    <s v="East"/>
    <x v="0"/>
    <x v="0"/>
  </r>
  <r>
    <x v="29"/>
    <d v="2024-05-06T00:00:00"/>
    <x v="24"/>
    <x v="2"/>
    <s v="H. Goldwyn"/>
    <x v="0"/>
    <n v="0"/>
    <n v="1"/>
    <x v="0"/>
    <x v="1"/>
    <n v="132.46"/>
    <n v="10.6"/>
    <x v="1"/>
    <x v="0"/>
    <x v="2"/>
    <x v="0"/>
    <x v="0"/>
    <n v="3"/>
    <n v="0"/>
    <s v="Secondary"/>
    <x v="0"/>
    <n v="44"/>
    <s v="North"/>
    <x v="0"/>
    <x v="2"/>
  </r>
  <r>
    <x v="30"/>
    <d v="2024-05-07T00:00:00"/>
    <x v="25"/>
    <x v="1"/>
    <s v="T. Boyes"/>
    <x v="0"/>
    <n v="0"/>
    <n v="0"/>
    <x v="4"/>
    <x v="0"/>
    <n v="171.52"/>
    <n v="44.3"/>
    <x v="1"/>
    <x v="0"/>
    <x v="0"/>
    <x v="0"/>
    <x v="1"/>
    <n v="11"/>
    <n v="0"/>
    <s v="Secondary"/>
    <x v="0"/>
    <n v="100"/>
    <s v="South"/>
    <x v="0"/>
    <x v="1"/>
  </r>
  <r>
    <x v="31"/>
    <d v="2024-05-08T00:00:00"/>
    <x v="26"/>
    <x v="0"/>
    <s v="J. Doherty"/>
    <x v="1"/>
    <n v="0"/>
    <n v="1"/>
    <x v="0"/>
    <x v="1"/>
    <n v="233.23"/>
    <n v="34.700000000000003"/>
    <x v="1"/>
    <x v="1"/>
    <x v="0"/>
    <x v="0"/>
    <x v="0"/>
    <n v="12"/>
    <n v="0"/>
    <s v="Secondary"/>
    <x v="2"/>
    <n v="28"/>
    <s v="West"/>
    <x v="0"/>
    <x v="0"/>
  </r>
  <r>
    <x v="32"/>
    <d v="2024-05-09T00:00:00"/>
    <x v="27"/>
    <x v="0"/>
    <s v="J. Farry"/>
    <x v="0"/>
    <n v="0"/>
    <n v="0"/>
    <x v="2"/>
    <x v="0"/>
    <n v="79.48"/>
    <n v="30.2"/>
    <x v="1"/>
    <x v="0"/>
    <x v="0"/>
    <x v="0"/>
    <x v="0"/>
    <n v="9"/>
    <n v="0"/>
    <s v="No education"/>
    <x v="1"/>
    <n v="3"/>
    <s v="South"/>
    <x v="0"/>
    <x v="1"/>
  </r>
  <r>
    <x v="33"/>
    <d v="2024-05-10T00:00:00"/>
    <x v="28"/>
    <x v="0"/>
    <s v="S. Cartwright"/>
    <x v="0"/>
    <n v="0"/>
    <n v="0"/>
    <x v="4"/>
    <x v="1"/>
    <n v="247.96"/>
    <n v="44.8"/>
    <x v="1"/>
    <x v="1"/>
    <x v="1"/>
    <x v="0"/>
    <x v="0"/>
    <n v="9"/>
    <n v="0"/>
    <s v="Tertiary"/>
    <x v="0"/>
    <n v="78"/>
    <s v="South"/>
    <x v="0"/>
    <x v="1"/>
  </r>
  <r>
    <x v="34"/>
    <d v="2024-05-11T00:00:00"/>
    <x v="7"/>
    <x v="1"/>
    <s v="T. Brockman"/>
    <x v="0"/>
    <n v="0"/>
    <n v="1"/>
    <x v="0"/>
    <x v="0"/>
    <n v="176.44"/>
    <n v="27.3"/>
    <x v="1"/>
    <x v="0"/>
    <x v="1"/>
    <x v="0"/>
    <x v="0"/>
    <n v="8"/>
    <n v="0"/>
    <s v="No education"/>
    <x v="2"/>
    <n v="45"/>
    <s v="East"/>
    <x v="0"/>
    <x v="0"/>
  </r>
  <r>
    <x v="35"/>
    <d v="2024-05-12T00:00:00"/>
    <x v="29"/>
    <x v="0"/>
    <s v="H. Engle"/>
    <x v="0"/>
    <n v="0"/>
    <n v="0"/>
    <x v="3"/>
    <x v="0"/>
    <n v="197.62"/>
    <n v="20.6"/>
    <x v="0"/>
    <x v="1"/>
    <x v="0"/>
    <x v="0"/>
    <x v="1"/>
    <n v="8"/>
    <n v="1"/>
    <s v="Primary"/>
    <x v="1"/>
    <n v="89"/>
    <s v="East"/>
    <x v="0"/>
    <x v="1"/>
  </r>
  <r>
    <x v="36"/>
    <d v="2024-05-13T00:00:00"/>
    <x v="29"/>
    <x v="1"/>
    <s v="D. Flashing"/>
    <x v="1"/>
    <n v="0"/>
    <n v="0"/>
    <x v="4"/>
    <x v="0"/>
    <n v="144.25"/>
    <n v="38"/>
    <x v="1"/>
    <x v="0"/>
    <x v="0"/>
    <x v="0"/>
    <x v="0"/>
    <n v="5"/>
    <n v="1"/>
    <s v="Secondary"/>
    <x v="2"/>
    <n v="14"/>
    <s v="West"/>
    <x v="0"/>
    <x v="1"/>
  </r>
  <r>
    <x v="37"/>
    <d v="2024-05-14T00:00:00"/>
    <x v="30"/>
    <x v="1"/>
    <s v="S. A"/>
    <x v="0"/>
    <n v="0"/>
    <n v="1"/>
    <x v="0"/>
    <x v="0"/>
    <n v="233.95"/>
    <n v="45.1"/>
    <x v="1"/>
    <x v="3"/>
    <x v="0"/>
    <x v="0"/>
    <x v="0"/>
    <n v="7"/>
    <n v="0"/>
    <s v="Secondary"/>
    <x v="2"/>
    <n v="12"/>
    <s v="East"/>
    <x v="0"/>
    <x v="1"/>
  </r>
  <r>
    <x v="38"/>
    <d v="2024-05-15T00:00:00"/>
    <x v="12"/>
    <x v="0"/>
    <s v="A. Bixby"/>
    <x v="1"/>
    <n v="0"/>
    <n v="0"/>
    <x v="1"/>
    <x v="1"/>
    <n v="230.23"/>
    <n v="33.1"/>
    <x v="1"/>
    <x v="1"/>
    <x v="2"/>
    <x v="1"/>
    <x v="0"/>
    <n v="4"/>
    <n v="0"/>
    <s v="Tertiary"/>
    <x v="1"/>
    <n v="100"/>
    <s v="North"/>
    <x v="0"/>
    <x v="2"/>
  </r>
  <r>
    <x v="39"/>
    <d v="2024-05-16T00:00:00"/>
    <x v="26"/>
    <x v="1"/>
    <s v="J. Klamczynski"/>
    <x v="1"/>
    <n v="0"/>
    <n v="0"/>
    <x v="1"/>
    <x v="1"/>
    <n v="297.68"/>
    <n v="39.1"/>
    <x v="0"/>
    <x v="1"/>
    <x v="1"/>
    <x v="0"/>
    <x v="0"/>
    <n v="11"/>
    <n v="0"/>
    <s v="Secondary"/>
    <x v="1"/>
    <n v="30"/>
    <s v="West"/>
    <x v="1"/>
    <x v="0"/>
  </r>
  <r>
    <x v="40"/>
    <d v="2024-05-17T00:00:00"/>
    <x v="14"/>
    <x v="0"/>
    <s v="B. Ferrer"/>
    <x v="0"/>
    <n v="0"/>
    <n v="0"/>
    <x v="0"/>
    <x v="1"/>
    <n v="271.51"/>
    <n v="42.7"/>
    <x v="1"/>
    <x v="3"/>
    <x v="2"/>
    <x v="0"/>
    <x v="0"/>
    <n v="3"/>
    <n v="0"/>
    <s v="Primary"/>
    <x v="0"/>
    <n v="59"/>
    <s v="South"/>
    <x v="0"/>
    <x v="0"/>
  </r>
  <r>
    <x v="41"/>
    <d v="2024-05-18T00:00:00"/>
    <x v="1"/>
    <x v="1"/>
    <s v="C. Kinney"/>
    <x v="0"/>
    <n v="0"/>
    <n v="1"/>
    <x v="4"/>
    <x v="1"/>
    <n v="194.61"/>
    <n v="49.8"/>
    <x v="1"/>
    <x v="2"/>
    <x v="1"/>
    <x v="1"/>
    <x v="0"/>
    <n v="7"/>
    <n v="0"/>
    <s v="Tertiary"/>
    <x v="0"/>
    <n v="77"/>
    <s v="North"/>
    <x v="1"/>
    <x v="0"/>
  </r>
  <r>
    <x v="42"/>
    <d v="2024-05-19T00:00:00"/>
    <x v="31"/>
    <x v="0"/>
    <s v="S. McNair"/>
    <x v="0"/>
    <n v="0"/>
    <n v="0"/>
    <x v="3"/>
    <x v="1"/>
    <n v="171.62"/>
    <n v="25.6"/>
    <x v="1"/>
    <x v="0"/>
    <x v="1"/>
    <x v="0"/>
    <x v="0"/>
    <n v="9"/>
    <n v="0"/>
    <s v="Primary"/>
    <x v="0"/>
    <n v="13"/>
    <s v="North"/>
    <x v="0"/>
    <x v="0"/>
  </r>
  <r>
    <x v="43"/>
    <d v="2024-05-20T00:00:00"/>
    <x v="17"/>
    <x v="0"/>
    <s v="A. Barton"/>
    <x v="0"/>
    <n v="0"/>
    <n v="1"/>
    <x v="0"/>
    <x v="1"/>
    <n v="163.35"/>
    <n v="43.5"/>
    <x v="1"/>
    <x v="2"/>
    <x v="2"/>
    <x v="0"/>
    <x v="0"/>
    <n v="6"/>
    <n v="0"/>
    <s v="Secondary"/>
    <x v="0"/>
    <n v="96"/>
    <s v="East"/>
    <x v="0"/>
    <x v="1"/>
  </r>
  <r>
    <x v="44"/>
    <d v="2024-05-21T00:00:00"/>
    <x v="2"/>
    <x v="1"/>
    <s v="S. Engle"/>
    <x v="0"/>
    <n v="0"/>
    <n v="1"/>
    <x v="4"/>
    <x v="1"/>
    <n v="154.41999999999999"/>
    <n v="12.3"/>
    <x v="1"/>
    <x v="1"/>
    <x v="1"/>
    <x v="0"/>
    <x v="1"/>
    <n v="8"/>
    <n v="0"/>
    <s v="Secondary"/>
    <x v="0"/>
    <n v="65"/>
    <s v="West"/>
    <x v="0"/>
    <x v="0"/>
  </r>
  <r>
    <x v="45"/>
    <d v="2024-05-22T00:00:00"/>
    <x v="18"/>
    <x v="1"/>
    <s v="N. Staavos"/>
    <x v="0"/>
    <n v="0"/>
    <n v="0"/>
    <x v="4"/>
    <x v="1"/>
    <n v="103.53"/>
    <n v="15.7"/>
    <x v="0"/>
    <x v="0"/>
    <x v="0"/>
    <x v="0"/>
    <x v="0"/>
    <n v="8"/>
    <n v="0"/>
    <s v="Secondary"/>
    <x v="0"/>
    <n v="77"/>
    <s v="West"/>
    <x v="0"/>
    <x v="2"/>
  </r>
  <r>
    <x v="46"/>
    <d v="2024-05-23T00:00:00"/>
    <x v="32"/>
    <x v="0"/>
    <s v="L. Carlisle"/>
    <x v="0"/>
    <n v="0"/>
    <n v="1"/>
    <x v="0"/>
    <x v="0"/>
    <n v="253.42"/>
    <n v="28.7"/>
    <x v="3"/>
    <x v="1"/>
    <x v="0"/>
    <x v="0"/>
    <x v="1"/>
    <n v="8"/>
    <n v="0"/>
    <s v="Secondary"/>
    <x v="2"/>
    <n v="23"/>
    <s v="North"/>
    <x v="0"/>
    <x v="0"/>
  </r>
  <r>
    <x v="47"/>
    <d v="2024-05-24T00:00:00"/>
    <x v="10"/>
    <x v="0"/>
    <s v="T. Blumstein"/>
    <x v="0"/>
    <n v="0"/>
    <n v="1"/>
    <x v="3"/>
    <x v="1"/>
    <n v="179.25"/>
    <n v="47.9"/>
    <x v="1"/>
    <x v="3"/>
    <x v="1"/>
    <x v="0"/>
    <x v="0"/>
    <n v="9"/>
    <n v="0"/>
    <s v="Primary"/>
    <x v="1"/>
    <n v="73"/>
    <s v="South"/>
    <x v="0"/>
    <x v="0"/>
  </r>
  <r>
    <x v="48"/>
    <d v="2024-05-25T00:00:00"/>
    <x v="33"/>
    <x v="1"/>
    <s v="M. Schnelling"/>
    <x v="0"/>
    <n v="0"/>
    <n v="0"/>
    <x v="4"/>
    <x v="0"/>
    <n v="246.68"/>
    <n v="31.6"/>
    <x v="1"/>
    <x v="1"/>
    <x v="2"/>
    <x v="1"/>
    <x v="0"/>
    <n v="3"/>
    <n v="0"/>
    <s v="Tertiary"/>
    <x v="2"/>
    <n v="83"/>
    <s v="West"/>
    <x v="0"/>
    <x v="2"/>
  </r>
  <r>
    <x v="49"/>
    <d v="2024-05-26T00:00:00"/>
    <x v="34"/>
    <x v="0"/>
    <s v="J. Braxton"/>
    <x v="0"/>
    <n v="0"/>
    <n v="1"/>
    <x v="0"/>
    <x v="1"/>
    <n v="126.11"/>
    <n v="49.4"/>
    <x v="1"/>
    <x v="0"/>
    <x v="1"/>
    <x v="0"/>
    <x v="0"/>
    <n v="11"/>
    <n v="0"/>
    <s v="Secondary"/>
    <x v="2"/>
    <n v="70"/>
    <s v="East"/>
    <x v="0"/>
    <x v="1"/>
  </r>
  <r>
    <x v="50"/>
    <d v="2024-05-27T00:00:00"/>
    <x v="18"/>
    <x v="1"/>
    <s v="P. Prost"/>
    <x v="0"/>
    <n v="0"/>
    <n v="0"/>
    <x v="0"/>
    <x v="0"/>
    <n v="193.23"/>
    <n v="35.5"/>
    <x v="1"/>
    <x v="0"/>
    <x v="2"/>
    <x v="0"/>
    <x v="0"/>
    <n v="10"/>
    <n v="1"/>
    <s v="Secondary"/>
    <x v="0"/>
    <n v="81"/>
    <s v="South"/>
    <x v="0"/>
    <x v="2"/>
  </r>
  <r>
    <x v="51"/>
    <d v="2024-05-28T00:00:00"/>
    <x v="35"/>
    <x v="1"/>
    <s v="A. Zypern"/>
    <x v="0"/>
    <n v="0"/>
    <n v="0"/>
    <x v="3"/>
    <x v="0"/>
    <n v="185.77"/>
    <n v="47.1"/>
    <x v="0"/>
    <x v="0"/>
    <x v="0"/>
    <x v="0"/>
    <x v="0"/>
    <n v="12"/>
    <n v="0"/>
    <s v="Primary"/>
    <x v="2"/>
    <n v="45"/>
    <s v="West"/>
    <x v="1"/>
    <x v="1"/>
  </r>
  <r>
    <x v="52"/>
    <d v="2024-05-29T00:00:00"/>
    <x v="25"/>
    <x v="1"/>
    <s v="K. Bern"/>
    <x v="0"/>
    <n v="0"/>
    <n v="0"/>
    <x v="3"/>
    <x v="1"/>
    <n v="118.59"/>
    <n v="14.6"/>
    <x v="3"/>
    <x v="0"/>
    <x v="1"/>
    <x v="0"/>
    <x v="0"/>
    <n v="4"/>
    <n v="0"/>
    <s v="Primary"/>
    <x v="1"/>
    <n v="6"/>
    <s v="West"/>
    <x v="0"/>
    <x v="1"/>
  </r>
  <r>
    <x v="53"/>
    <d v="2024-05-30T00:00:00"/>
    <x v="36"/>
    <x v="1"/>
    <s v="C. Anderson"/>
    <x v="0"/>
    <n v="0"/>
    <n v="0"/>
    <x v="4"/>
    <x v="0"/>
    <n v="178.93"/>
    <n v="39.200000000000003"/>
    <x v="2"/>
    <x v="1"/>
    <x v="0"/>
    <x v="1"/>
    <x v="0"/>
    <n v="11"/>
    <n v="0"/>
    <s v="Secondary"/>
    <x v="0"/>
    <n v="75"/>
    <s v="North"/>
    <x v="1"/>
    <x v="1"/>
  </r>
  <r>
    <x v="54"/>
    <d v="2024-05-31T00:00:00"/>
    <x v="37"/>
    <x v="1"/>
    <s v="B. Elias"/>
    <x v="0"/>
    <n v="0"/>
    <n v="0"/>
    <x v="0"/>
    <x v="1"/>
    <n v="141.83000000000001"/>
    <n v="15.9"/>
    <x v="2"/>
    <x v="2"/>
    <x v="1"/>
    <x v="0"/>
    <x v="1"/>
    <n v="9"/>
    <n v="0"/>
    <s v="Secondary"/>
    <x v="2"/>
    <n v="94"/>
    <s v="North"/>
    <x v="0"/>
    <x v="0"/>
  </r>
  <r>
    <x v="55"/>
    <d v="2024-06-01T00:00:00"/>
    <x v="38"/>
    <x v="1"/>
    <s v="C. Hwang"/>
    <x v="0"/>
    <n v="0"/>
    <n v="0"/>
    <x v="0"/>
    <x v="0"/>
    <n v="227.73"/>
    <n v="26.2"/>
    <x v="1"/>
    <x v="2"/>
    <x v="0"/>
    <x v="0"/>
    <x v="0"/>
    <n v="6"/>
    <n v="0"/>
    <s v="Secondary"/>
    <x v="0"/>
    <n v="28"/>
    <s v="South"/>
    <x v="0"/>
    <x v="1"/>
  </r>
  <r>
    <x v="56"/>
    <d v="2024-06-02T00:00:00"/>
    <x v="39"/>
    <x v="0"/>
    <s v="M. Haberlin"/>
    <x v="1"/>
    <n v="0"/>
    <n v="0"/>
    <x v="0"/>
    <x v="0"/>
    <n v="281.32"/>
    <n v="14"/>
    <x v="3"/>
    <x v="0"/>
    <x v="1"/>
    <x v="0"/>
    <x v="0"/>
    <n v="9"/>
    <n v="0"/>
    <s v="Primary"/>
    <x v="2"/>
    <n v="46"/>
    <s v="South"/>
    <x v="0"/>
    <x v="0"/>
  </r>
  <r>
    <x v="57"/>
    <d v="2024-06-03T00:00:00"/>
    <x v="40"/>
    <x v="1"/>
    <s v="J. Ritter"/>
    <x v="0"/>
    <n v="0"/>
    <n v="0"/>
    <x v="1"/>
    <x v="0"/>
    <n v="249.06"/>
    <n v="10"/>
    <x v="0"/>
    <x v="3"/>
    <x v="0"/>
    <x v="0"/>
    <x v="1"/>
    <n v="10"/>
    <n v="0"/>
    <s v="Primary"/>
    <x v="2"/>
    <n v="15"/>
    <s v="South"/>
    <x v="0"/>
    <x v="1"/>
  </r>
  <r>
    <x v="58"/>
    <d v="2024-06-04T00:00:00"/>
    <x v="36"/>
    <x v="0"/>
    <s v="P. Breyer"/>
    <x v="0"/>
    <n v="0"/>
    <n v="0"/>
    <x v="2"/>
    <x v="1"/>
    <n v="156.4"/>
    <n v="27.4"/>
    <x v="1"/>
    <x v="2"/>
    <x v="1"/>
    <x v="0"/>
    <x v="0"/>
    <n v="8"/>
    <n v="0"/>
    <s v="No education"/>
    <x v="2"/>
    <n v="48"/>
    <s v="East"/>
    <x v="0"/>
    <x v="1"/>
  </r>
  <r>
    <x v="59"/>
    <d v="2024-06-05T00:00:00"/>
    <x v="26"/>
    <x v="0"/>
    <s v="J. Stevenson"/>
    <x v="0"/>
    <n v="1"/>
    <n v="1"/>
    <x v="0"/>
    <x v="1"/>
    <n v="97.48"/>
    <n v="13.5"/>
    <x v="3"/>
    <x v="3"/>
    <x v="2"/>
    <x v="0"/>
    <x v="0"/>
    <n v="6"/>
    <n v="1"/>
    <s v="Secondary"/>
    <x v="2"/>
    <n v="4"/>
    <s v="East"/>
    <x v="0"/>
    <x v="0"/>
  </r>
  <r>
    <x v="60"/>
    <d v="2024-06-06T00:00:00"/>
    <x v="41"/>
    <x v="0"/>
    <s v="R. DeVincentis"/>
    <x v="0"/>
    <n v="0"/>
    <n v="0"/>
    <x v="2"/>
    <x v="0"/>
    <n v="83.36"/>
    <n v="27.4"/>
    <x v="3"/>
    <x v="1"/>
    <x v="0"/>
    <x v="0"/>
    <x v="0"/>
    <n v="11"/>
    <n v="0"/>
    <s v="Primary"/>
    <x v="2"/>
    <n v="56"/>
    <s v="East"/>
    <x v="0"/>
    <x v="0"/>
  </r>
  <r>
    <x v="61"/>
    <d v="2024-06-07T00:00:00"/>
    <x v="18"/>
    <x v="0"/>
    <s v="D. Kipp"/>
    <x v="0"/>
    <n v="0"/>
    <n v="0"/>
    <x v="0"/>
    <x v="1"/>
    <n v="212.27"/>
    <n v="23.8"/>
    <x v="2"/>
    <x v="1"/>
    <x v="1"/>
    <x v="0"/>
    <x v="1"/>
    <n v="3"/>
    <n v="0"/>
    <s v="Secondary"/>
    <x v="2"/>
    <n v="96"/>
    <s v="North"/>
    <x v="0"/>
    <x v="2"/>
  </r>
  <r>
    <x v="62"/>
    <d v="2024-06-08T00:00:00"/>
    <x v="42"/>
    <x v="1"/>
    <s v="F. McMath"/>
    <x v="1"/>
    <n v="0"/>
    <n v="0"/>
    <x v="1"/>
    <x v="0"/>
    <n v="117.23"/>
    <n v="30.2"/>
    <x v="1"/>
    <x v="3"/>
    <x v="0"/>
    <x v="0"/>
    <x v="0"/>
    <n v="9"/>
    <n v="0"/>
    <s v="Secondary"/>
    <x v="0"/>
    <n v="36"/>
    <s v="North"/>
    <x v="0"/>
    <x v="0"/>
  </r>
  <r>
    <x v="63"/>
    <d v="2024-06-09T00:00:00"/>
    <x v="43"/>
    <x v="1"/>
    <s v="P. Gardner"/>
    <x v="1"/>
    <n v="1"/>
    <n v="0"/>
    <x v="3"/>
    <x v="1"/>
    <n v="258.04000000000002"/>
    <n v="24.6"/>
    <x v="3"/>
    <x v="0"/>
    <x v="2"/>
    <x v="1"/>
    <x v="0"/>
    <n v="11"/>
    <n v="0"/>
    <s v="Tertiary"/>
    <x v="2"/>
    <n v="64"/>
    <s v="North"/>
    <x v="0"/>
    <x v="0"/>
  </r>
  <r>
    <x v="64"/>
    <d v="2024-06-10T00:00:00"/>
    <x v="32"/>
    <x v="1"/>
    <s v="E. Ashbrook"/>
    <x v="0"/>
    <n v="0"/>
    <n v="1"/>
    <x v="0"/>
    <x v="0"/>
    <n v="222.47"/>
    <n v="44.4"/>
    <x v="1"/>
    <x v="2"/>
    <x v="0"/>
    <x v="0"/>
    <x v="0"/>
    <n v="6"/>
    <n v="1"/>
    <s v="Tertiary"/>
    <x v="1"/>
    <n v="63"/>
    <s v="East"/>
    <x v="0"/>
    <x v="0"/>
  </r>
  <r>
    <x v="65"/>
    <d v="2024-06-11T00:00:00"/>
    <x v="43"/>
    <x v="2"/>
    <s v="J. Dryer"/>
    <x v="0"/>
    <n v="0"/>
    <n v="0"/>
    <x v="3"/>
    <x v="1"/>
    <n v="208.2"/>
    <n v="29.8"/>
    <x v="1"/>
    <x v="3"/>
    <x v="0"/>
    <x v="1"/>
    <x v="0"/>
    <n v="6"/>
    <n v="0"/>
    <s v="Primary"/>
    <x v="2"/>
    <n v="60"/>
    <s v="West"/>
    <x v="0"/>
    <x v="0"/>
  </r>
  <r>
    <x v="66"/>
    <d v="2024-06-12T00:00:00"/>
    <x v="44"/>
    <x v="1"/>
    <s v="G. Weimer"/>
    <x v="0"/>
    <n v="0"/>
    <n v="1"/>
    <x v="4"/>
    <x v="0"/>
    <n v="131.99"/>
    <n v="21.3"/>
    <x v="1"/>
    <x v="1"/>
    <x v="2"/>
    <x v="0"/>
    <x v="0"/>
    <n v="6"/>
    <n v="0"/>
    <s v="Tertiary"/>
    <x v="0"/>
    <n v="76"/>
    <s v="West"/>
    <x v="0"/>
    <x v="1"/>
  </r>
  <r>
    <x v="67"/>
    <d v="2024-06-13T00:00:00"/>
    <x v="45"/>
    <x v="0"/>
    <s v="J. Fjeld"/>
    <x v="0"/>
    <n v="0"/>
    <n v="0"/>
    <x v="3"/>
    <x v="0"/>
    <n v="141.66"/>
    <n v="15.2"/>
    <x v="3"/>
    <x v="1"/>
    <x v="0"/>
    <x v="0"/>
    <x v="0"/>
    <n v="9"/>
    <n v="0"/>
    <s v="Primary"/>
    <x v="2"/>
    <n v="63"/>
    <s v="South"/>
    <x v="1"/>
    <x v="0"/>
  </r>
  <r>
    <x v="68"/>
    <d v="2024-06-14T00:00:00"/>
    <x v="2"/>
    <x v="1"/>
    <s v="G. Tran"/>
    <x v="0"/>
    <n v="0"/>
    <n v="0"/>
    <x v="0"/>
    <x v="0"/>
    <n v="103.97"/>
    <n v="42.9"/>
    <x v="0"/>
    <x v="0"/>
    <x v="1"/>
    <x v="0"/>
    <x v="0"/>
    <n v="10"/>
    <n v="0"/>
    <s v="Primary"/>
    <x v="1"/>
    <n v="100"/>
    <s v="East"/>
    <x v="0"/>
    <x v="0"/>
  </r>
  <r>
    <x v="69"/>
    <d v="2024-06-15T00:00:00"/>
    <x v="19"/>
    <x v="1"/>
    <s v="A. Hwang"/>
    <x v="0"/>
    <n v="0"/>
    <n v="0"/>
    <x v="4"/>
    <x v="1"/>
    <n v="168.13"/>
    <n v="17.399999999999999"/>
    <x v="0"/>
    <x v="1"/>
    <x v="1"/>
    <x v="0"/>
    <x v="0"/>
    <n v="7"/>
    <n v="0"/>
    <s v="Tertiary"/>
    <x v="2"/>
    <n v="37"/>
    <s v="South"/>
    <x v="0"/>
    <x v="0"/>
  </r>
  <r>
    <x v="70"/>
    <d v="2024-06-16T00:00:00"/>
    <x v="41"/>
    <x v="1"/>
    <s v="M. Clasen"/>
    <x v="0"/>
    <n v="0"/>
    <n v="0"/>
    <x v="2"/>
    <x v="0"/>
    <n v="257.68"/>
    <n v="28.2"/>
    <x v="1"/>
    <x v="1"/>
    <x v="1"/>
    <x v="0"/>
    <x v="0"/>
    <n v="7"/>
    <n v="0"/>
    <s v="Primary"/>
    <x v="1"/>
    <n v="12"/>
    <s v="West"/>
    <x v="0"/>
    <x v="0"/>
  </r>
  <r>
    <x v="71"/>
    <d v="2024-06-17T00:00:00"/>
    <x v="1"/>
    <x v="0"/>
    <s v="B. Venier"/>
    <x v="0"/>
    <n v="0"/>
    <n v="0"/>
    <x v="4"/>
    <x v="0"/>
    <n v="114.33"/>
    <n v="33.799999999999997"/>
    <x v="1"/>
    <x v="0"/>
    <x v="0"/>
    <x v="0"/>
    <x v="0"/>
    <n v="11"/>
    <n v="1"/>
    <s v="Tertiary"/>
    <x v="1"/>
    <n v="88"/>
    <s v="East"/>
    <x v="0"/>
    <x v="0"/>
  </r>
  <r>
    <x v="72"/>
    <d v="2024-06-18T00:00:00"/>
    <x v="41"/>
    <x v="1"/>
    <s v="L. Castell"/>
    <x v="0"/>
    <n v="0"/>
    <n v="0"/>
    <x v="0"/>
    <x v="1"/>
    <n v="273.94"/>
    <n v="17.100000000000001"/>
    <x v="1"/>
    <x v="3"/>
    <x v="0"/>
    <x v="1"/>
    <x v="0"/>
    <n v="6"/>
    <n v="0"/>
    <s v="Secondary"/>
    <x v="2"/>
    <n v="57"/>
    <s v="East"/>
    <x v="0"/>
    <x v="0"/>
  </r>
  <r>
    <x v="73"/>
    <d v="2024-06-19T00:00:00"/>
    <x v="46"/>
    <x v="1"/>
    <s v="P. Hugh"/>
    <x v="1"/>
    <n v="0"/>
    <n v="1"/>
    <x v="0"/>
    <x v="1"/>
    <n v="165.18"/>
    <n v="36"/>
    <x v="2"/>
    <x v="0"/>
    <x v="0"/>
    <x v="0"/>
    <x v="1"/>
    <n v="10"/>
    <n v="0"/>
    <s v="Secondary"/>
    <x v="2"/>
    <n v="57"/>
    <s v="South"/>
    <x v="0"/>
    <x v="0"/>
  </r>
  <r>
    <x v="74"/>
    <d v="2024-06-20T00:00:00"/>
    <x v="25"/>
    <x v="2"/>
    <s v="T. Zic"/>
    <x v="0"/>
    <n v="0"/>
    <n v="0"/>
    <x v="0"/>
    <x v="1"/>
    <n v="145.4"/>
    <n v="41.1"/>
    <x v="1"/>
    <x v="2"/>
    <x v="0"/>
    <x v="0"/>
    <x v="0"/>
    <n v="7"/>
    <n v="0"/>
    <s v="Secondary"/>
    <x v="0"/>
    <n v="37"/>
    <s v="North"/>
    <x v="0"/>
    <x v="1"/>
  </r>
  <r>
    <x v="75"/>
    <d v="2024-06-21T00:00:00"/>
    <x v="47"/>
    <x v="0"/>
    <s v="A. Crouse"/>
    <x v="0"/>
    <n v="0"/>
    <n v="0"/>
    <x v="3"/>
    <x v="1"/>
    <n v="194.67"/>
    <n v="18"/>
    <x v="0"/>
    <x v="0"/>
    <x v="0"/>
    <x v="0"/>
    <x v="0"/>
    <n v="12"/>
    <n v="0"/>
    <s v="Tertiary"/>
    <x v="2"/>
    <n v="9"/>
    <s v="East"/>
    <x v="0"/>
    <x v="1"/>
  </r>
  <r>
    <x v="76"/>
    <d v="2024-06-22T00:00:00"/>
    <x v="48"/>
    <x v="0"/>
    <s v="B. Degenhardt"/>
    <x v="0"/>
    <n v="0"/>
    <n v="1"/>
    <x v="0"/>
    <x v="0"/>
    <n v="189.58"/>
    <n v="14.9"/>
    <x v="1"/>
    <x v="0"/>
    <x v="0"/>
    <x v="0"/>
    <x v="0"/>
    <n v="10"/>
    <n v="0"/>
    <s v="Secondary"/>
    <x v="0"/>
    <n v="98"/>
    <s v="West"/>
    <x v="0"/>
    <x v="0"/>
  </r>
  <r>
    <x v="77"/>
    <d v="2024-06-23T00:00:00"/>
    <x v="12"/>
    <x v="1"/>
    <s v="D. Lawera"/>
    <x v="0"/>
    <n v="1"/>
    <n v="0"/>
    <x v="0"/>
    <x v="1"/>
    <n v="115.07"/>
    <n v="37.299999999999997"/>
    <x v="2"/>
    <x v="0"/>
    <x v="1"/>
    <x v="0"/>
    <x v="0"/>
    <n v="3"/>
    <n v="0"/>
    <s v="Secondary"/>
    <x v="0"/>
    <n v="95"/>
    <s v="North"/>
    <x v="0"/>
    <x v="2"/>
  </r>
  <r>
    <x v="78"/>
    <d v="2024-06-24T00:00:00"/>
    <x v="13"/>
    <x v="1"/>
    <s v="E. Barreto"/>
    <x v="0"/>
    <n v="0"/>
    <n v="0"/>
    <x v="0"/>
    <x v="0"/>
    <n v="205.56"/>
    <n v="44.9"/>
    <x v="0"/>
    <x v="1"/>
    <x v="1"/>
    <x v="0"/>
    <x v="1"/>
    <n v="10"/>
    <n v="1"/>
    <s v="Primary"/>
    <x v="0"/>
    <n v="68"/>
    <s v="North"/>
    <x v="0"/>
    <x v="0"/>
  </r>
  <r>
    <x v="79"/>
    <d v="2024-06-25T00:00:00"/>
    <x v="49"/>
    <x v="0"/>
    <s v="D. Weiss"/>
    <x v="1"/>
    <n v="0"/>
    <n v="1"/>
    <x v="1"/>
    <x v="1"/>
    <n v="228.5"/>
    <n v="47.4"/>
    <x v="3"/>
    <x v="1"/>
    <x v="0"/>
    <x v="0"/>
    <x v="0"/>
    <n v="12"/>
    <n v="0"/>
    <s v="Secondary"/>
    <x v="1"/>
    <n v="22"/>
    <s v="West"/>
    <x v="0"/>
    <x v="2"/>
  </r>
  <r>
    <x v="80"/>
    <d v="2024-06-26T00:00:00"/>
    <x v="37"/>
    <x v="0"/>
    <s v="L. Cacioppo"/>
    <x v="0"/>
    <n v="0"/>
    <n v="0"/>
    <x v="0"/>
    <x v="1"/>
    <n v="214.83"/>
    <n v="23.8"/>
    <x v="1"/>
    <x v="1"/>
    <x v="2"/>
    <x v="0"/>
    <x v="0"/>
    <n v="6"/>
    <n v="0"/>
    <s v="Secondary"/>
    <x v="2"/>
    <n v="8"/>
    <s v="West"/>
    <x v="0"/>
    <x v="0"/>
  </r>
  <r>
    <x v="81"/>
    <d v="2024-06-27T00:00:00"/>
    <x v="50"/>
    <x v="0"/>
    <s v="R. Reed"/>
    <x v="0"/>
    <n v="0"/>
    <n v="0"/>
    <x v="0"/>
    <x v="0"/>
    <n v="219.12"/>
    <n v="40.799999999999997"/>
    <x v="1"/>
    <x v="1"/>
    <x v="0"/>
    <x v="0"/>
    <x v="1"/>
    <n v="3"/>
    <n v="0"/>
    <s v="No education"/>
    <x v="1"/>
    <n v="85"/>
    <s v="North"/>
    <x v="0"/>
    <x v="1"/>
  </r>
  <r>
    <x v="82"/>
    <d v="2024-06-28T00:00:00"/>
    <x v="13"/>
    <x v="0"/>
    <s v="K. Daniels"/>
    <x v="0"/>
    <n v="1"/>
    <n v="1"/>
    <x v="2"/>
    <x v="0"/>
    <n v="247.61"/>
    <n v="26.5"/>
    <x v="0"/>
    <x v="0"/>
    <x v="0"/>
    <x v="0"/>
    <x v="1"/>
    <n v="7"/>
    <n v="0"/>
    <s v="Secondary"/>
    <x v="0"/>
    <n v="84"/>
    <s v="South"/>
    <x v="0"/>
    <x v="0"/>
  </r>
  <r>
    <x v="83"/>
    <d v="2024-06-29T00:00:00"/>
    <x v="4"/>
    <x v="1"/>
    <s v="O. Nelson"/>
    <x v="0"/>
    <n v="0"/>
    <n v="0"/>
    <x v="0"/>
    <x v="0"/>
    <n v="174.34"/>
    <n v="30.1"/>
    <x v="1"/>
    <x v="0"/>
    <x v="1"/>
    <x v="0"/>
    <x v="0"/>
    <n v="4"/>
    <n v="1"/>
    <s v="Tertiary"/>
    <x v="2"/>
    <n v="28"/>
    <s v="North"/>
    <x v="0"/>
    <x v="2"/>
  </r>
  <r>
    <x v="84"/>
    <d v="2024-06-30T00:00:00"/>
    <x v="50"/>
    <x v="1"/>
    <s v="B. Hoffman"/>
    <x v="0"/>
    <n v="0"/>
    <n v="1"/>
    <x v="0"/>
    <x v="1"/>
    <n v="85.08"/>
    <n v="40"/>
    <x v="1"/>
    <x v="0"/>
    <x v="2"/>
    <x v="0"/>
    <x v="0"/>
    <n v="6"/>
    <n v="0"/>
    <s v="Primary"/>
    <x v="1"/>
    <n v="27"/>
    <s v="South"/>
    <x v="0"/>
    <x v="1"/>
  </r>
  <r>
    <x v="85"/>
    <d v="2024-07-01T00:00:00"/>
    <x v="37"/>
    <x v="0"/>
    <s v="J. Gross"/>
    <x v="0"/>
    <n v="0"/>
    <n v="1"/>
    <x v="2"/>
    <x v="0"/>
    <n v="117.9"/>
    <n v="46.7"/>
    <x v="1"/>
    <x v="1"/>
    <x v="1"/>
    <x v="0"/>
    <x v="0"/>
    <n v="7"/>
    <n v="0"/>
    <s v="Tertiary"/>
    <x v="2"/>
    <n v="67"/>
    <s v="West"/>
    <x v="0"/>
    <x v="0"/>
  </r>
  <r>
    <x v="86"/>
    <d v="2024-07-02T00:00:00"/>
    <x v="25"/>
    <x v="0"/>
    <s v="C. Carreira"/>
    <x v="0"/>
    <n v="0"/>
    <n v="1"/>
    <x v="0"/>
    <x v="1"/>
    <n v="263.39999999999998"/>
    <n v="39.4"/>
    <x v="1"/>
    <x v="1"/>
    <x v="1"/>
    <x v="0"/>
    <x v="1"/>
    <n v="11"/>
    <n v="0"/>
    <s v="Secondary"/>
    <x v="1"/>
    <n v="60"/>
    <s v="East"/>
    <x v="0"/>
    <x v="1"/>
  </r>
  <r>
    <x v="87"/>
    <d v="2024-07-03T00:00:00"/>
    <x v="0"/>
    <x v="0"/>
    <s v="C. Cortes"/>
    <x v="0"/>
    <n v="0"/>
    <n v="0"/>
    <x v="1"/>
    <x v="1"/>
    <n v="136.86000000000001"/>
    <n v="37.700000000000003"/>
    <x v="1"/>
    <x v="3"/>
    <x v="1"/>
    <x v="0"/>
    <x v="0"/>
    <n v="10"/>
    <n v="0"/>
    <s v="Secondary"/>
    <x v="2"/>
    <n v="47"/>
    <s v="East"/>
    <x v="0"/>
    <x v="0"/>
  </r>
  <r>
    <x v="88"/>
    <d v="2024-07-04T00:00:00"/>
    <x v="51"/>
    <x v="1"/>
    <s v="T. Swint"/>
    <x v="0"/>
    <n v="0"/>
    <n v="0"/>
    <x v="2"/>
    <x v="0"/>
    <n v="283.63"/>
    <n v="44.5"/>
    <x v="1"/>
    <x v="0"/>
    <x v="1"/>
    <x v="0"/>
    <x v="0"/>
    <n v="7"/>
    <n v="1"/>
    <s v="Secondary"/>
    <x v="1"/>
    <n v="49"/>
    <s v="East"/>
    <x v="0"/>
    <x v="0"/>
  </r>
  <r>
    <x v="89"/>
    <d v="2024-07-05T00:00:00"/>
    <x v="7"/>
    <x v="1"/>
    <s v="A. Avila"/>
    <x v="1"/>
    <n v="0"/>
    <n v="0"/>
    <x v="3"/>
    <x v="0"/>
    <n v="232.11"/>
    <n v="49.2"/>
    <x v="1"/>
    <x v="3"/>
    <x v="0"/>
    <x v="0"/>
    <x v="0"/>
    <n v="8"/>
    <n v="0"/>
    <s v="Tertiary"/>
    <x v="2"/>
    <n v="17"/>
    <s v="North"/>
    <x v="0"/>
    <x v="0"/>
  </r>
  <r>
    <x v="90"/>
    <d v="2024-07-06T00:00:00"/>
    <x v="39"/>
    <x v="1"/>
    <s v="M. Granlund"/>
    <x v="0"/>
    <n v="0"/>
    <n v="1"/>
    <x v="0"/>
    <x v="0"/>
    <n v="219.95"/>
    <n v="28.8"/>
    <x v="1"/>
    <x v="0"/>
    <x v="2"/>
    <x v="1"/>
    <x v="0"/>
    <n v="4"/>
    <n v="0"/>
    <s v="No education"/>
    <x v="1"/>
    <n v="52"/>
    <s v="West"/>
    <x v="0"/>
    <x v="0"/>
  </r>
  <r>
    <x v="91"/>
    <d v="2024-07-07T00:00:00"/>
    <x v="30"/>
    <x v="1"/>
    <s v="R. Ferguson"/>
    <x v="0"/>
    <n v="0"/>
    <n v="0"/>
    <x v="1"/>
    <x v="1"/>
    <n v="124.71"/>
    <n v="36.9"/>
    <x v="1"/>
    <x v="1"/>
    <x v="0"/>
    <x v="0"/>
    <x v="0"/>
    <n v="11"/>
    <n v="1"/>
    <s v="Secondary"/>
    <x v="2"/>
    <n v="73"/>
    <s v="East"/>
    <x v="0"/>
    <x v="1"/>
  </r>
  <r>
    <x v="92"/>
    <d v="2024-07-08T00:00:00"/>
    <x v="8"/>
    <x v="0"/>
    <s v="R. Duston"/>
    <x v="0"/>
    <n v="0"/>
    <n v="0"/>
    <x v="3"/>
    <x v="1"/>
    <n v="235.66"/>
    <n v="27.6"/>
    <x v="1"/>
    <x v="0"/>
    <x v="0"/>
    <x v="1"/>
    <x v="1"/>
    <n v="10"/>
    <n v="0"/>
    <s v="Primary"/>
    <x v="2"/>
    <n v="74"/>
    <s v="South"/>
    <x v="0"/>
    <x v="1"/>
  </r>
  <r>
    <x v="93"/>
    <d v="2024-07-09T00:00:00"/>
    <x v="27"/>
    <x v="0"/>
    <s v="E. McCrary"/>
    <x v="1"/>
    <n v="0"/>
    <n v="0"/>
    <x v="0"/>
    <x v="0"/>
    <n v="170.96"/>
    <n v="47.4"/>
    <x v="1"/>
    <x v="0"/>
    <x v="1"/>
    <x v="1"/>
    <x v="0"/>
    <n v="5"/>
    <n v="0"/>
    <s v="Secondary"/>
    <x v="2"/>
    <n v="8"/>
    <s v="North"/>
    <x v="0"/>
    <x v="1"/>
  </r>
  <r>
    <x v="94"/>
    <d v="2024-07-10T00:00:00"/>
    <x v="29"/>
    <x v="0"/>
    <s v="R. Williams"/>
    <x v="0"/>
    <n v="0"/>
    <n v="0"/>
    <x v="1"/>
    <x v="0"/>
    <n v="102.53"/>
    <n v="44.9"/>
    <x v="1"/>
    <x v="1"/>
    <x v="0"/>
    <x v="0"/>
    <x v="0"/>
    <n v="9"/>
    <n v="0"/>
    <s v="Primary"/>
    <x v="2"/>
    <n v="73"/>
    <s v="West"/>
    <x v="0"/>
    <x v="1"/>
  </r>
  <r>
    <x v="95"/>
    <d v="2024-07-11T00:00:00"/>
    <x v="52"/>
    <x v="1"/>
    <s v="J. Barnett"/>
    <x v="0"/>
    <n v="0"/>
    <n v="0"/>
    <x v="0"/>
    <x v="1"/>
    <n v="172.53"/>
    <n v="28.1"/>
    <x v="2"/>
    <x v="0"/>
    <x v="1"/>
    <x v="0"/>
    <x v="0"/>
    <n v="12"/>
    <n v="0"/>
    <s v="Primary"/>
    <x v="2"/>
    <n v="73"/>
    <s v="Eas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1A36E-3ED2-447E-A955-BD6CA4C84C06}" name="PivotTable5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40">
  <location ref="A18:B21" firstHeaderRow="1" firstDataRow="1" firstDataCol="1"/>
  <pivotFields count="25">
    <pivotField dataField="1" compact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>
      <items count="3">
        <item x="0"/>
        <item x="1"/>
        <item x="2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>
      <items count="3">
        <item x="1"/>
        <item x="2"/>
        <item x="0"/>
      </items>
    </pivotField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3">
        <item x="1"/>
        <item x="0"/>
        <item x="2"/>
      </items>
    </pivotField>
  </pivotFields>
  <rowFields count="1">
    <field x="24"/>
  </rowFields>
  <rowItems count="3">
    <i>
      <x/>
    </i>
    <i>
      <x v="1"/>
    </i>
    <i>
      <x v="2"/>
    </i>
  </rowItems>
  <colItems count="1">
    <i/>
  </colItems>
  <dataFields count="1">
    <dataField name="Total Patients As per Age Segment" fld="0" subtotal="count" baseField="24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24" type="button" dataOnly="0" labelOnly="1" outline="0" axis="axisRow" fieldPosition="0"/>
    </format>
    <format dxfId="5">
      <pivotArea dataOnly="0" labelOnly="1" outline="0" fieldPosition="0">
        <references count="1">
          <reference field="24" count="0"/>
        </references>
      </pivotArea>
    </format>
    <format dxfId="4">
      <pivotArea dataOnly="0" labelOnly="1" outline="0" axis="axisValues" fieldPosition="0"/>
    </format>
    <format dxfId="3">
      <pivotArea fieldPosition="0">
        <references count="1">
          <reference field="24" count="1">
            <x v="0"/>
          </reference>
        </references>
      </pivotArea>
    </format>
    <format dxfId="2">
      <pivotArea field="24" type="button" dataOnly="0" labelOnly="1" outline="0" axis="axisRow" fieldPosition="0"/>
    </format>
    <format dxfId="1">
      <pivotArea dataOnly="0" labelOnly="1" outline="0" fieldPosition="0">
        <references count="1">
          <reference field="24" count="1">
            <x v="0"/>
          </reference>
        </references>
      </pivotArea>
    </format>
    <format dxfId="0">
      <pivotArea dataOnly="0" labelOnly="1" outline="0" axis="axisValues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9ECD4-08EB-491C-A243-69A7D25131D7}" name="PivotTable13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50">
  <location ref="R1:U5" firstHeaderRow="0" firstDataRow="1" firstDataCol="1"/>
  <pivotFields count="25">
    <pivotField dataField="1" compact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>
      <items count="3">
        <item x="0"/>
        <item x="1"/>
        <item x="2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4">
        <item x="2"/>
        <item x="1"/>
        <item x="3"/>
        <item x="0"/>
      </items>
    </pivotField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>
      <items count="3">
        <item x="1"/>
        <item x="2"/>
        <item x="0"/>
      </items>
    </pivotField>
    <pivotField dataField="1" compact="0" showAll="0" defaultSubtotal="0"/>
    <pivotField compact="0" showAll="0" defaultSubtotal="0"/>
    <pivotField dataField="1" compact="0" showAll="0" defaultSubtotal="0"/>
    <pivotField compact="0" showAll="0" defaultSubtotal="0">
      <items count="3">
        <item x="1"/>
        <item x="0"/>
        <item x="2"/>
      </items>
    </pivotField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troke Risk Score" fld="21" baseField="13" baseItem="0"/>
    <dataField name="Total Stroke Occurrence" fld="23" baseField="13" baseItem="0"/>
    <dataField name="Total Patients as per Smoking Status" fld="0" subtotal="count" baseField="13" baseItem="0"/>
  </dataFields>
  <formats count="5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3" type="button" dataOnly="0" labelOnly="1" outline="0" axis="axisRow" fieldPosition="0"/>
    </format>
    <format dxfId="10">
      <pivotArea dataOnly="0" labelOnly="1" outline="0" fieldPosition="0">
        <references count="1">
          <reference field="13" count="0"/>
        </references>
      </pivotArea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329BC-CDA9-4ABE-A96B-0719202E9ED5}" name="PivotTable8" cacheId="1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outline="1" outlineData="1" compactData="0" multipleFieldFilters="0" chartFormat="31">
  <location ref="L2:O18" firstHeaderRow="0" firstDataRow="1" firstDataCol="2"/>
  <pivotFields count="25">
    <pivotField compact="0" showAll="0" defaultSubtotal="0"/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4">
        <item x="0"/>
        <item x="1"/>
        <item x="3"/>
        <item x="2"/>
      </items>
    </pivotField>
    <pivotField compact="0" showAll="0" defaultSubtotal="0">
      <items count="4">
        <item x="2"/>
        <item x="1"/>
        <item x="3"/>
        <item x="0"/>
      </items>
    </pivotField>
    <pivotField compact="0" showAll="0" defaultSubtotal="0"/>
    <pivotField compact="0" multipleItemSelectionAllowed="1" showAll="0" defaultSubtotal="0">
      <items count="2">
        <item h="1"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dataField="1" compact="0" showAll="0" defaultSubtotal="0">
      <items count="2">
        <item x="0"/>
        <item x="1"/>
      </items>
    </pivotField>
    <pivotField axis="axisRow" compact="0" showAll="0" defaultSubtotal="0">
      <items count="3">
        <item x="1"/>
        <item x="0"/>
        <item x="2"/>
      </items>
    </pivotField>
  </pivotFields>
  <rowFields count="2">
    <field x="12"/>
    <field x="24"/>
  </rowFields>
  <rowItems count="1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</rowItems>
  <colFields count="1">
    <field x="-2"/>
  </colFields>
  <colItems count="2">
    <i>
      <x/>
    </i>
    <i i="1">
      <x v="1"/>
    </i>
  </colItems>
  <dataFields count="2">
    <dataField name="Total Stroke Risk Score " fld="21" baseField="12" baseItem="0"/>
    <dataField name="Total Stroke Occurrence" fld="23" baseField="12" baseItem="0"/>
  </dataFields>
  <formats count="10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2" type="button" dataOnly="0" labelOnly="1" outline="0" axis="axisRow" fieldPosition="0"/>
    </format>
    <format dxfId="20">
      <pivotArea field="24" type="button" dataOnly="0" labelOnly="1" outline="0" axis="axisRow" fieldPosition="1"/>
    </format>
    <format dxfId="19">
      <pivotArea dataOnly="0" labelOnly="1" outline="0" fieldPosition="0">
        <references count="1">
          <reference field="12" count="0"/>
        </references>
      </pivotArea>
    </format>
    <format dxfId="18">
      <pivotArea dataOnly="0" labelOnly="1" outline="0" fieldPosition="0">
        <references count="2">
          <reference field="12" count="1" selected="0">
            <x v="0"/>
          </reference>
          <reference field="24" count="0"/>
        </references>
      </pivotArea>
    </format>
    <format dxfId="17">
      <pivotArea dataOnly="0" labelOnly="1" outline="0" fieldPosition="0">
        <references count="2">
          <reference field="12" count="1" selected="0">
            <x v="1"/>
          </reference>
          <reference field="24" count="0"/>
        </references>
      </pivotArea>
    </format>
    <format dxfId="16">
      <pivotArea dataOnly="0" labelOnly="1" outline="0" fieldPosition="0">
        <references count="2">
          <reference field="12" count="1" selected="0">
            <x v="2"/>
          </reference>
          <reference field="24" count="0"/>
        </references>
      </pivotArea>
    </format>
    <format dxfId="15">
      <pivotArea dataOnly="0" labelOnly="1" outline="0" fieldPosition="0">
        <references count="2">
          <reference field="12" count="1" selected="0">
            <x v="3"/>
          </reference>
          <reference field="24" count="0"/>
        </references>
      </pivotArea>
    </format>
    <format dxfId="14">
      <pivotArea dataOnly="0" labelOnly="1" outline="0" axis="axisValues" fieldPosition="0"/>
    </format>
  </formats>
  <chartFormats count="4">
    <chartFormat chart="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454C1-A255-4466-8C0F-F7D89B00E937}" name="PivotTable10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48">
  <location ref="F25:G28" firstHeaderRow="1" firstDataRow="1" firstDataCol="1"/>
  <pivotFields count="25">
    <pivotField compact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>
      <items count="3">
        <item x="0"/>
        <item x="1"/>
        <item x="2"/>
      </items>
    </pivotField>
    <pivotField compact="0" showAll="0" defaultSubtotal="0"/>
    <pivotField dataField="1"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3">
        <item x="1"/>
        <item x="2"/>
        <item x="0"/>
      </items>
    </pivotField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>
      <items count="3">
        <item x="1"/>
        <item x="0"/>
        <item x="2"/>
      </items>
    </pivotField>
  </pivotFields>
  <rowFields count="1">
    <field x="20"/>
  </rowFields>
  <rowItems count="3">
    <i>
      <x/>
    </i>
    <i>
      <x v="1"/>
    </i>
    <i>
      <x v="2"/>
    </i>
  </rowItems>
  <colItems count="1">
    <i/>
  </colItems>
  <dataFields count="1">
    <dataField name="Total Patients of Hypertension" fld="5" baseField="20" baseItem="0"/>
  </dataFields>
  <formats count="5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0" type="button" dataOnly="0" labelOnly="1" outline="0" axis="axisRow" fieldPosition="0"/>
    </format>
    <format dxfId="25">
      <pivotArea dataOnly="0" labelOnly="1" outline="0" fieldPosition="0">
        <references count="1">
          <reference field="20" count="0"/>
        </references>
      </pivotArea>
    </format>
    <format dxfId="24">
      <pivotArea dataOnly="0" labelOnly="1" outline="0" axis="axisValues" fieldPosition="0"/>
    </format>
  </formats>
  <chartFormats count="8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7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7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39A69-B463-4BC4-B19F-56A38C21ECC1}" name="PivotTable4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46">
  <location ref="D9:F12" firstHeaderRow="0" firstDataRow="1" firstDataCol="1"/>
  <pivotFields count="25">
    <pivotField dataField="1" compact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>
      <items count="3">
        <item x="0"/>
        <item x="1"/>
        <item x="2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3">
        <item x="1"/>
        <item x="2"/>
        <item x="0"/>
      </items>
    </pivotField>
    <pivotField dataField="1" compact="0" showAll="0" defaultSubtotal="0"/>
    <pivotField compact="0" showAll="0" defaultSubtotal="0"/>
    <pivotField compact="0" showAll="0" defaultSubtotal="0"/>
    <pivotField compact="0" showAll="0" defaultSubtotal="0">
      <items count="3">
        <item x="1"/>
        <item x="0"/>
        <item x="2"/>
      </items>
    </pivotField>
  </pivotFields>
  <rowFields count="1">
    <field x="2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Stroke Risk Score as per Income Segment" fld="21" baseField="20" baseItem="0"/>
    <dataField name="Total Number of Patient as per Income Segment" fld="0" subtotal="count" baseField="20" baseItem="0"/>
  </dataFields>
  <formats count="5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0" type="button" dataOnly="0" labelOnly="1" outline="0" axis="axisRow" fieldPosition="0"/>
    </format>
    <format dxfId="30">
      <pivotArea dataOnly="0" labelOnly="1" outline="0" fieldPosition="0">
        <references count="1">
          <reference field="20" count="0"/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4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5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5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15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45" format="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45" format="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11199-73D6-45A5-9130-63901ABB250F}" name="PivotTable3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24">
  <location ref="A1:B4" firstHeaderRow="1" firstDataRow="1" firstDataCol="1"/>
  <pivotFields count="25">
    <pivotField compact="0" showAll="0" defaultSubtotal="0"/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axis="axisRow" compact="0" showAll="0" defaultSubtotal="0">
      <items count="3">
        <item x="1"/>
        <item x="0"/>
        <item x="2"/>
      </items>
    </pivotField>
  </pivotFields>
  <rowFields count="1">
    <field x="24"/>
  </rowFields>
  <rowItems count="3">
    <i>
      <x/>
    </i>
    <i>
      <x v="1"/>
    </i>
    <i>
      <x v="2"/>
    </i>
  </rowItems>
  <colItems count="1">
    <i/>
  </colItems>
  <dataFields count="1">
    <dataField name="Total Number of Stroke Occurrence" fld="23" baseField="24" baseItem="0"/>
  </dataFields>
  <formats count="5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4" type="button" dataOnly="0" labelOnly="1" outline="0" axis="axisRow" fieldPosition="0"/>
    </format>
    <format dxfId="35">
      <pivotArea dataOnly="0" labelOnly="1" outline="0" fieldPosition="0">
        <references count="1">
          <reference field="24" count="0"/>
        </references>
      </pivotArea>
    </format>
    <format dxfId="3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99035-DCB6-4346-AC45-5E9E9E99576F}" name="PivotTable9" cacheId="1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outline="1" outlineData="1" compactData="0" multipleFieldFilters="0" chartFormat="40">
  <location ref="U39:Y41" firstHeaderRow="0" firstDataRow="1" firstDataCol="1"/>
  <pivotFields count="25">
    <pivotField dataField="1" compact="0" showAll="0" defaultSubtotal="0"/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>
      <items count="4">
        <item x="0"/>
        <item x="1"/>
        <item x="3"/>
        <item x="2"/>
      </items>
    </pivotField>
    <pivotField compact="0" showAll="0" defaultSubtotal="0">
      <items count="4">
        <item x="2"/>
        <item x="1"/>
        <item x="3"/>
        <item x="0"/>
      </items>
    </pivotField>
    <pivotField compact="0" showAll="0" defaultSubtotal="0"/>
    <pivotField axis="axisRow" compact="0" multipleItemSelectionAllowed="1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dataField="1" compact="0" showAll="0" defaultSubtotal="0">
      <items count="2">
        <item x="0"/>
        <item x="1"/>
      </items>
    </pivotField>
    <pivotField compact="0" showAll="0" defaultSubtotal="0">
      <items count="3">
        <item x="1"/>
        <item x="0"/>
        <item x="2"/>
      </items>
    </pivotField>
  </pivotFields>
  <rowFields count="1">
    <field x="15"/>
  </rowFields>
  <rowItems count="2">
    <i>
      <x/>
    </i>
    <i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troke Risk Score" fld="21" baseField="15" baseItem="0"/>
    <dataField name="Total Alcohol Consumers" fld="0" subtotal="count" baseField="15" baseItem="1"/>
    <dataField name="Total Stroke Occurrence" fld="23" baseField="15" baseItem="0"/>
    <dataField name="Patients suffering from Heart Disease" fld="6" baseField="15" baseItem="0"/>
  </dataFields>
  <formats count="5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5" type="button" dataOnly="0" labelOnly="1" outline="0" axis="axisRow" fieldPosition="0"/>
    </format>
    <format dxfId="40">
      <pivotArea dataOnly="0" labelOnly="1" outline="0" fieldPosition="0">
        <references count="1">
          <reference field="15" count="0"/>
        </references>
      </pivotArea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0">
    <chartFormat chart="8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2"/>
          </reference>
          <reference field="15" count="1" selected="0">
            <x v="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2"/>
          </reference>
          <reference field="15" count="1" selected="0">
            <x v="1"/>
          </reference>
        </references>
      </pivotArea>
    </chartFormat>
    <chartFormat chart="8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9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9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33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39" format="34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39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36">
      <pivotArea type="data" outline="0" fieldPosition="0">
        <references count="2">
          <reference field="4294967294" count="1" selected="0">
            <x v="2"/>
          </reference>
          <reference field="15" count="1" selected="0">
            <x v="0"/>
          </reference>
        </references>
      </pivotArea>
    </chartFormat>
    <chartFormat chart="39" format="37">
      <pivotArea type="data" outline="0" fieldPosition="0">
        <references count="2">
          <reference field="4294967294" count="1" selected="0">
            <x v="2"/>
          </reference>
          <reference field="15" count="1" selected="0">
            <x v="1"/>
          </reference>
        </references>
      </pivotArea>
    </chartFormat>
    <chartFormat chart="39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FCE57-94AE-444A-94A2-E014AE937623}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45">
  <location ref="H54:L74" firstHeaderRow="0" firstDataRow="1" firstDataCol="2"/>
  <pivotFields count="25">
    <pivotField dataField="1" compact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>
      <items count="3">
        <item x="0"/>
        <item x="1"/>
        <item x="2"/>
      </items>
    </pivotField>
    <pivotField compact="0" showAll="0" defaultSubtotal="0"/>
    <pivotField dataField="1"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axis="axisRow" compact="0" showAll="0" defaultSubtotal="0">
      <items count="5">
        <item x="3"/>
        <item x="2"/>
        <item x="1"/>
        <item x="0"/>
        <item x="4"/>
      </items>
    </pivotField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>
      <items count="4">
        <item x="2"/>
        <item x="1"/>
        <item x="3"/>
        <item x="0"/>
      </items>
    </pivotField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3">
        <item x="1"/>
        <item x="2"/>
        <item x="0"/>
      </items>
    </pivotField>
    <pivotField dataField="1"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>
      <items count="3">
        <item x="1"/>
        <item x="0"/>
        <item x="2"/>
      </items>
    </pivotField>
  </pivotFields>
  <rowFields count="2">
    <field x="8"/>
    <field x="20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atients of Hypertension" fld="5" baseField="8" baseItem="0"/>
    <dataField name="Total Stroke Risk Score" fld="21" baseField="8" baseItem="0"/>
    <dataField name="Total Patients in each category" fld="0" subtotal="count" baseField="8" baseItem="0"/>
  </dataFields>
  <formats count="11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8" type="button" dataOnly="0" labelOnly="1" outline="0" axis="axisRow" fieldPosition="0"/>
    </format>
    <format dxfId="51">
      <pivotArea field="20" type="button" dataOnly="0" labelOnly="1" outline="0" axis="axisRow" fieldPosition="1"/>
    </format>
    <format dxfId="50">
      <pivotArea dataOnly="0" labelOnly="1" outline="0" fieldPosition="0">
        <references count="1">
          <reference field="8" count="0"/>
        </references>
      </pivotArea>
    </format>
    <format dxfId="49">
      <pivotArea dataOnly="0" labelOnly="1" outline="0" fieldPosition="0">
        <references count="2">
          <reference field="8" count="1" selected="0">
            <x v="0"/>
          </reference>
          <reference field="20" count="0"/>
        </references>
      </pivotArea>
    </format>
    <format dxfId="48">
      <pivotArea dataOnly="0" labelOnly="1" outline="0" fieldPosition="0">
        <references count="2">
          <reference field="8" count="1" selected="0">
            <x v="1"/>
          </reference>
          <reference field="20" count="0"/>
        </references>
      </pivotArea>
    </format>
    <format dxfId="47">
      <pivotArea dataOnly="0" labelOnly="1" outline="0" fieldPosition="0">
        <references count="2">
          <reference field="8" count="1" selected="0">
            <x v="2"/>
          </reference>
          <reference field="20" count="0"/>
        </references>
      </pivotArea>
    </format>
    <format dxfId="46">
      <pivotArea dataOnly="0" labelOnly="1" outline="0" fieldPosition="0">
        <references count="2">
          <reference field="8" count="1" selected="0">
            <x v="3"/>
          </reference>
          <reference field="20" count="0"/>
        </references>
      </pivotArea>
    </format>
    <format dxfId="45">
      <pivotArea dataOnly="0" labelOnly="1" outline="0" fieldPosition="0">
        <references count="2">
          <reference field="8" count="1" selected="0">
            <x v="4"/>
          </reference>
          <reference field="20" count="0"/>
        </references>
      </pivotArea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21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BDF7E-9AB4-4F38-B77A-3EA57B4A8299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52">
  <location ref="U69:X72" firstHeaderRow="0" firstDataRow="1" firstDataCol="1"/>
  <pivotFields count="25">
    <pivotField compact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>
      <items count="3">
        <item x="0"/>
        <item x="1"/>
        <item x="2"/>
      </items>
    </pivotField>
    <pivotField compact="0" showAll="0" defaultSubtotal="0"/>
    <pivotField compact="0" showAll="0" defaultSubtotal="0">
      <items count="2">
        <item x="0"/>
        <item x="1"/>
      </items>
    </pivotField>
    <pivotField dataField="1" compact="0" showAll="0" defaultSubtotal="0"/>
    <pivotField compact="0" showAll="0" defaultSubtotal="0"/>
    <pivotField compact="0" showAll="0" defaultSubtotal="0">
      <items count="5">
        <item x="3"/>
        <item x="2"/>
        <item x="1"/>
        <item x="0"/>
        <item x="4"/>
      </items>
    </pivotField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>
      <items count="4">
        <item x="2"/>
        <item x="1"/>
        <item x="3"/>
        <item x="0"/>
      </items>
    </pivotField>
    <pivotField axis="axisRow" compact="0" showAll="0" defaultSubtotal="0">
      <items count="3">
        <item x="2"/>
        <item x="0"/>
        <item x="1"/>
      </items>
    </pivotField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>
      <items count="3">
        <item x="1"/>
        <item x="2"/>
        <item x="0"/>
      </items>
    </pivotField>
    <pivotField dataField="1" compact="0" showAll="0" defaultSubtotal="0"/>
    <pivotField compact="0" showAll="0" defaultSubtotal="0"/>
    <pivotField dataField="1" compact="0" showAll="0" defaultSubtotal="0">
      <items count="2">
        <item x="0"/>
        <item x="1"/>
      </items>
    </pivotField>
    <pivotField compact="0" showAll="0" defaultSubtotal="0">
      <items count="3">
        <item x="1"/>
        <item x="0"/>
        <item x="2"/>
      </items>
    </pivotField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troke Risk Score" fld="21" baseField="0" baseItem="0"/>
    <dataField name="Sum of Stroke Occurrence" fld="23" baseField="0" baseItem="0"/>
    <dataField name="Sum of Heart Disease" fld="6" baseField="0" baseItem="0"/>
  </dataFields>
  <formats count="4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8" type="button" dataOnly="0" labelOnly="1" outline="0"/>
    </format>
    <format dxfId="55">
      <pivotArea field="20" type="button" dataOnly="0" labelOnly="1" outline="0"/>
    </format>
  </formats>
  <chartFormats count="6"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D7532-147D-4750-AF76-727306F9F6F7}" name="PivotTable7" cacheId="1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outline="1" outlineData="1" compactData="0" multipleFieldFilters="0" chartFormat="28">
  <location ref="A48:E52" firstHeaderRow="1" firstDataRow="2" firstDataCol="1"/>
  <pivotFields count="25">
    <pivotField dataField="1" compact="0" showAll="0" defaultSubtotal="0"/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Col" compact="0" showAll="0" defaultSubtotal="0">
      <items count="4">
        <item x="0"/>
        <item x="1"/>
        <item x="3"/>
        <item x="2"/>
      </items>
    </pivotField>
    <pivotField compact="0" showAll="0" defaultSubtotal="0">
      <items count="4">
        <item x="2"/>
        <item x="1"/>
        <item x="3"/>
        <item x="0"/>
      </items>
    </pivotField>
    <pivotField compact="0" showAll="0" defaultSubtotal="0"/>
    <pivotField compact="0" multipleItemSelectionAllowed="1" showAll="0" defaultSubtotal="0">
      <items count="2">
        <item h="1"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axis="axisRow" compact="0" showAll="0" defaultSubtotal="0">
      <items count="3">
        <item x="1"/>
        <item x="0"/>
        <item x="2"/>
      </items>
    </pivotField>
  </pivotFields>
  <rowFields count="1">
    <field x="24"/>
  </rowFields>
  <rowItems count="3">
    <i>
      <x/>
    </i>
    <i>
      <x v="1"/>
    </i>
    <i>
      <x v="2"/>
    </i>
  </rowItems>
  <colFields count="1">
    <field x="12"/>
  </colFields>
  <colItems count="4">
    <i>
      <x/>
    </i>
    <i>
      <x v="1"/>
    </i>
    <i>
      <x v="2"/>
    </i>
    <i>
      <x v="3"/>
    </i>
  </colItems>
  <dataFields count="1">
    <dataField name="Total Patients" fld="0" subtotal="count" baseField="24" baseItem="1"/>
  </dataFields>
  <formats count="8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2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24" type="button" dataOnly="0" labelOnly="1" outline="0" axis="axisRow" fieldPosition="0"/>
    </format>
    <format dxfId="60">
      <pivotArea dataOnly="0" labelOnly="1" outline="0" fieldPosition="0">
        <references count="1">
          <reference field="24" count="0"/>
        </references>
      </pivotArea>
    </format>
    <format dxfId="59">
      <pivotArea dataOnly="0" labelOnly="1" outline="0" fieldPosition="0">
        <references count="1">
          <reference field="12" count="0"/>
        </references>
      </pivotArea>
    </format>
  </formats>
  <chartFormats count="8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826CC-1E25-47A6-939F-0B3B0885256B}" name="PivotTable12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outline="1" outlineData="1" compactData="0" multipleFieldFilters="0" chartFormat="45">
  <location ref="O48:S56" firstHeaderRow="0" firstDataRow="1" firstDataCol="2"/>
  <pivotFields count="25">
    <pivotField dataField="1" compact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compact="0" numFmtId="164" showAll="0" defaultSubtotal="0"/>
    <pivotField compact="0" showAll="0" defaultSubtotal="0">
      <items count="53">
        <item x="33"/>
        <item x="49"/>
        <item x="18"/>
        <item x="24"/>
        <item x="12"/>
        <item x="4"/>
        <item x="29"/>
        <item x="34"/>
        <item x="8"/>
        <item x="36"/>
        <item x="27"/>
        <item x="35"/>
        <item x="47"/>
        <item x="50"/>
        <item x="3"/>
        <item x="38"/>
        <item x="15"/>
        <item x="44"/>
        <item x="16"/>
        <item x="17"/>
        <item x="11"/>
        <item x="30"/>
        <item x="5"/>
        <item x="28"/>
        <item x="21"/>
        <item x="25"/>
        <item x="40"/>
        <item x="1"/>
        <item x="48"/>
        <item x="7"/>
        <item x="20"/>
        <item x="52"/>
        <item x="46"/>
        <item x="51"/>
        <item x="2"/>
        <item x="19"/>
        <item x="9"/>
        <item x="45"/>
        <item x="22"/>
        <item x="37"/>
        <item x="23"/>
        <item x="0"/>
        <item x="10"/>
        <item x="14"/>
        <item x="13"/>
        <item x="43"/>
        <item x="6"/>
        <item x="41"/>
        <item x="32"/>
        <item x="26"/>
        <item x="42"/>
        <item x="39"/>
        <item x="31"/>
      </items>
    </pivotField>
    <pivotField compact="0" showAll="0" defaultSubtotal="0">
      <items count="3">
        <item x="0"/>
        <item x="1"/>
        <item x="2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>
      <items count="4">
        <item x="2"/>
        <item x="1"/>
        <item x="3"/>
        <item x="0"/>
      </items>
    </pivotField>
    <pivotField compact="0" showAll="0" defaultSubtotal="0"/>
    <pivotField compact="0" showAll="0" defaultSubtotal="0"/>
    <pivotField axis="axisRow" compact="0" showAll="0" defaultSubtotal="0">
      <items count="2">
        <item x="0"/>
        <item x="1"/>
      </items>
    </pivotField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3">
        <item x="1"/>
        <item x="2"/>
        <item x="0"/>
      </items>
    </pivotField>
    <pivotField dataField="1" compact="0" showAll="0" defaultSubtotal="0"/>
    <pivotField compact="0" showAll="0" defaultSubtotal="0"/>
    <pivotField dataField="1" compact="0" showAll="0" defaultSubtotal="0"/>
    <pivotField compact="0" showAll="0" defaultSubtotal="0">
      <items count="3">
        <item x="1"/>
        <item x="0"/>
        <item x="2"/>
      </items>
    </pivotField>
  </pivotFields>
  <rowFields count="2">
    <field x="16"/>
    <field x="20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troke Risk Score" fld="21" baseField="16" baseItem="0"/>
    <dataField name="Total Patients having Chronic Stress" fld="0" subtotal="count" baseField="20" baseItem="0"/>
    <dataField name="Total Stroke Occurrence" fld="23" baseField="16" baseItem="0"/>
  </dataFields>
  <formats count="8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6" type="button" dataOnly="0" labelOnly="1" outline="0" axis="axisRow" fieldPosition="0"/>
    </format>
    <format dxfId="71">
      <pivotArea field="20" type="button" dataOnly="0" labelOnly="1" outline="0" axis="axisRow" fieldPosition="1"/>
    </format>
    <format dxfId="70">
      <pivotArea dataOnly="0" labelOnly="1" outline="0" fieldPosition="0">
        <references count="1">
          <reference field="16" count="0"/>
        </references>
      </pivotArea>
    </format>
    <format dxfId="69">
      <pivotArea dataOnly="0" labelOnly="1" outline="0" fieldPosition="0">
        <references count="2">
          <reference field="16" count="1" selected="0">
            <x v="0"/>
          </reference>
          <reference field="20" count="0"/>
        </references>
      </pivotArea>
    </format>
    <format dxfId="68">
      <pivotArea dataOnly="0" labelOnly="1" outline="0" fieldPosition="0">
        <references count="2">
          <reference field="16" count="1" selected="0">
            <x v="1"/>
          </reference>
          <reference field="20" count="0"/>
        </references>
      </pivotArea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19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7ADA-033D-4CE5-904B-C84E81E6F34A}">
  <sheetPr>
    <pageSetUpPr autoPageBreaks="0"/>
  </sheetPr>
  <dimension ref="A1:Y89"/>
  <sheetViews>
    <sheetView showGridLines="0" tabSelected="1" zoomScale="29" zoomScaleNormal="25" workbookViewId="0">
      <selection activeCell="J32" sqref="J32"/>
    </sheetView>
  </sheetViews>
  <sheetFormatPr defaultRowHeight="25.8" x14ac:dyDescent="0.5"/>
  <cols>
    <col min="1" max="1" width="36.33203125" style="1" bestFit="1" customWidth="1"/>
    <col min="2" max="2" width="86.5546875" style="1" bestFit="1" customWidth="1"/>
    <col min="3" max="3" width="35.88671875" style="1" bestFit="1" customWidth="1"/>
    <col min="4" max="4" width="32.44140625" style="1" bestFit="1" customWidth="1"/>
    <col min="5" max="6" width="115.5546875" style="1" bestFit="1" customWidth="1"/>
    <col min="7" max="7" width="75.44140625" style="1" bestFit="1" customWidth="1"/>
    <col min="8" max="8" width="29.109375" style="1" bestFit="1" customWidth="1"/>
    <col min="9" max="9" width="32.44140625" style="1" bestFit="1" customWidth="1"/>
    <col min="10" max="10" width="75.44140625" style="1" bestFit="1" customWidth="1"/>
    <col min="11" max="11" width="60" style="1" bestFit="1" customWidth="1"/>
    <col min="12" max="12" width="76.44140625" style="1" bestFit="1" customWidth="1"/>
    <col min="13" max="13" width="33.88671875" style="1" bestFit="1" customWidth="1"/>
    <col min="14" max="14" width="61.44140625" style="1" bestFit="1" customWidth="1"/>
    <col min="15" max="15" width="60.44140625" style="1" bestFit="1" customWidth="1"/>
    <col min="16" max="16" width="32.44140625" style="1" bestFit="1" customWidth="1"/>
    <col min="17" max="17" width="60" style="1" bestFit="1" customWidth="1"/>
    <col min="18" max="18" width="89.44140625" style="1" bestFit="1" customWidth="1"/>
    <col min="19" max="20" width="60.44140625" style="1" bestFit="1" customWidth="1"/>
    <col min="21" max="21" width="90.88671875" style="1" bestFit="1" customWidth="1"/>
    <col min="22" max="22" width="63.44140625" style="1" bestFit="1" customWidth="1"/>
    <col min="23" max="23" width="63.88671875" style="1" bestFit="1" customWidth="1"/>
    <col min="24" max="24" width="60.44140625" style="1" bestFit="1" customWidth="1"/>
    <col min="25" max="25" width="91.88671875" style="1" bestFit="1" customWidth="1"/>
    <col min="26" max="16384" width="8.88671875" style="1"/>
  </cols>
  <sheetData>
    <row r="1" spans="1:21" x14ac:dyDescent="0.5">
      <c r="A1" s="1" t="s">
        <v>0</v>
      </c>
      <c r="B1" s="1" t="s">
        <v>1</v>
      </c>
      <c r="J1" s="2"/>
      <c r="R1" s="1" t="s">
        <v>2</v>
      </c>
      <c r="S1" s="1" t="s">
        <v>3</v>
      </c>
      <c r="T1" s="1" t="s">
        <v>4</v>
      </c>
      <c r="U1" s="1" t="s">
        <v>5</v>
      </c>
    </row>
    <row r="2" spans="1:21" x14ac:dyDescent="0.5">
      <c r="A2" s="1" t="s">
        <v>6</v>
      </c>
      <c r="B2" s="1">
        <v>3</v>
      </c>
      <c r="J2" s="2"/>
      <c r="L2" s="1" t="s">
        <v>7</v>
      </c>
      <c r="M2" s="1" t="s">
        <v>0</v>
      </c>
      <c r="N2" s="1" t="s">
        <v>8</v>
      </c>
      <c r="O2" s="1" t="s">
        <v>4</v>
      </c>
      <c r="R2" s="1" t="s">
        <v>9</v>
      </c>
      <c r="S2" s="1">
        <v>655</v>
      </c>
      <c r="T2" s="1">
        <v>1</v>
      </c>
      <c r="U2" s="1">
        <v>11</v>
      </c>
    </row>
    <row r="3" spans="1:21" x14ac:dyDescent="0.5">
      <c r="A3" s="1" t="s">
        <v>10</v>
      </c>
      <c r="B3" s="1">
        <v>4</v>
      </c>
      <c r="J3" s="2"/>
      <c r="L3" s="1" t="s">
        <v>11</v>
      </c>
      <c r="R3" s="1" t="s">
        <v>12</v>
      </c>
      <c r="S3" s="1">
        <v>1918</v>
      </c>
      <c r="T3" s="1">
        <v>3</v>
      </c>
      <c r="U3" s="1">
        <v>33</v>
      </c>
    </row>
    <row r="4" spans="1:21" x14ac:dyDescent="0.5">
      <c r="A4" s="1" t="s">
        <v>13</v>
      </c>
      <c r="B4" s="1">
        <v>0</v>
      </c>
      <c r="J4" s="2"/>
      <c r="M4" s="1" t="s">
        <v>6</v>
      </c>
      <c r="N4" s="1">
        <v>239</v>
      </c>
      <c r="O4" s="1">
        <v>1</v>
      </c>
      <c r="R4" s="1" t="s">
        <v>14</v>
      </c>
      <c r="S4" s="1">
        <v>432</v>
      </c>
      <c r="T4" s="1">
        <v>0</v>
      </c>
      <c r="U4" s="1">
        <v>12</v>
      </c>
    </row>
    <row r="5" spans="1:21" x14ac:dyDescent="0.5">
      <c r="A5" s="2"/>
      <c r="B5" s="2"/>
      <c r="J5" s="2"/>
      <c r="M5" s="1" t="s">
        <v>10</v>
      </c>
      <c r="N5" s="1">
        <v>497</v>
      </c>
      <c r="O5" s="1">
        <v>1</v>
      </c>
      <c r="R5" s="1" t="s">
        <v>15</v>
      </c>
      <c r="S5" s="1">
        <v>2315</v>
      </c>
      <c r="T5" s="1">
        <v>3</v>
      </c>
      <c r="U5" s="1">
        <v>40</v>
      </c>
    </row>
    <row r="6" spans="1:21" x14ac:dyDescent="0.5">
      <c r="A6" s="2"/>
      <c r="B6" s="2"/>
      <c r="J6" s="2"/>
      <c r="M6" s="1" t="s">
        <v>13</v>
      </c>
      <c r="N6" s="1">
        <v>260</v>
      </c>
      <c r="O6" s="1">
        <v>0</v>
      </c>
    </row>
    <row r="7" spans="1:21" x14ac:dyDescent="0.5">
      <c r="A7" s="2"/>
      <c r="B7" s="2"/>
      <c r="J7" s="2"/>
      <c r="L7" s="1" t="s">
        <v>16</v>
      </c>
    </row>
    <row r="8" spans="1:21" x14ac:dyDescent="0.5">
      <c r="A8" s="2"/>
      <c r="B8" s="2"/>
      <c r="J8" s="2"/>
      <c r="M8" s="1" t="s">
        <v>6</v>
      </c>
      <c r="N8" s="1">
        <v>1408</v>
      </c>
      <c r="O8" s="1">
        <v>1</v>
      </c>
    </row>
    <row r="9" spans="1:21" x14ac:dyDescent="0.5">
      <c r="A9" s="2"/>
      <c r="B9" s="2"/>
      <c r="D9" s="1" t="s">
        <v>17</v>
      </c>
      <c r="E9" s="1" t="s">
        <v>18</v>
      </c>
      <c r="F9" s="1" t="s">
        <v>19</v>
      </c>
      <c r="J9" s="2"/>
      <c r="M9" s="1" t="s">
        <v>10</v>
      </c>
      <c r="N9" s="1">
        <v>1631</v>
      </c>
      <c r="O9" s="1">
        <v>2</v>
      </c>
    </row>
    <row r="10" spans="1:21" x14ac:dyDescent="0.5">
      <c r="A10" s="2"/>
      <c r="D10" s="1" t="s">
        <v>20</v>
      </c>
      <c r="E10" s="1">
        <v>1212</v>
      </c>
      <c r="F10" s="1">
        <v>22</v>
      </c>
      <c r="J10" s="2"/>
      <c r="M10" s="1" t="s">
        <v>13</v>
      </c>
      <c r="N10" s="1">
        <v>413</v>
      </c>
      <c r="O10" s="1">
        <v>0</v>
      </c>
    </row>
    <row r="11" spans="1:21" x14ac:dyDescent="0.5">
      <c r="A11" s="2"/>
      <c r="D11" s="1" t="s">
        <v>21</v>
      </c>
      <c r="E11" s="1">
        <v>2276</v>
      </c>
      <c r="F11" s="1">
        <v>47</v>
      </c>
      <c r="L11" s="1" t="s">
        <v>22</v>
      </c>
    </row>
    <row r="12" spans="1:21" x14ac:dyDescent="0.5">
      <c r="A12" s="2"/>
      <c r="D12" s="1" t="s">
        <v>6</v>
      </c>
      <c r="E12" s="1">
        <v>1832</v>
      </c>
      <c r="F12" s="1">
        <v>27</v>
      </c>
      <c r="M12" s="1" t="s">
        <v>6</v>
      </c>
      <c r="N12" s="1">
        <v>6</v>
      </c>
      <c r="O12" s="1">
        <v>0</v>
      </c>
    </row>
    <row r="13" spans="1:21" x14ac:dyDescent="0.5">
      <c r="A13" s="2"/>
      <c r="M13" s="1" t="s">
        <v>10</v>
      </c>
      <c r="N13" s="1">
        <v>256</v>
      </c>
      <c r="O13" s="1">
        <v>1</v>
      </c>
    </row>
    <row r="14" spans="1:21" x14ac:dyDescent="0.5">
      <c r="A14" s="2"/>
      <c r="B14" s="2"/>
      <c r="M14" s="1" t="s">
        <v>13</v>
      </c>
      <c r="N14" s="1">
        <v>22</v>
      </c>
      <c r="O14" s="1">
        <v>0</v>
      </c>
    </row>
    <row r="15" spans="1:21" x14ac:dyDescent="0.5">
      <c r="A15" s="2"/>
      <c r="B15" s="2"/>
      <c r="J15" s="2"/>
      <c r="L15" s="1" t="s">
        <v>23</v>
      </c>
    </row>
    <row r="16" spans="1:21" x14ac:dyDescent="0.5">
      <c r="J16" s="2"/>
      <c r="M16" s="1" t="s">
        <v>6</v>
      </c>
      <c r="N16" s="1">
        <v>75</v>
      </c>
      <c r="O16" s="1">
        <v>1</v>
      </c>
    </row>
    <row r="17" spans="1:15" x14ac:dyDescent="0.5">
      <c r="J17" s="2"/>
      <c r="M17" s="1" t="s">
        <v>10</v>
      </c>
      <c r="N17" s="1">
        <v>322</v>
      </c>
      <c r="O17" s="1">
        <v>0</v>
      </c>
    </row>
    <row r="18" spans="1:15" x14ac:dyDescent="0.5">
      <c r="A18" s="1" t="s">
        <v>0</v>
      </c>
      <c r="B18" s="1" t="s">
        <v>24</v>
      </c>
      <c r="J18" s="2"/>
      <c r="M18" s="1" t="s">
        <v>13</v>
      </c>
      <c r="N18" s="1">
        <v>191</v>
      </c>
      <c r="O18" s="1">
        <v>0</v>
      </c>
    </row>
    <row r="19" spans="1:15" x14ac:dyDescent="0.5">
      <c r="A19" s="1" t="s">
        <v>6</v>
      </c>
      <c r="B19" s="1">
        <v>33</v>
      </c>
    </row>
    <row r="20" spans="1:15" x14ac:dyDescent="0.5">
      <c r="A20" s="1" t="s">
        <v>10</v>
      </c>
      <c r="B20" s="1">
        <v>50</v>
      </c>
    </row>
    <row r="21" spans="1:15" x14ac:dyDescent="0.5">
      <c r="A21" s="1" t="s">
        <v>13</v>
      </c>
      <c r="B21" s="1">
        <v>13</v>
      </c>
    </row>
    <row r="25" spans="1:15" x14ac:dyDescent="0.5">
      <c r="F25" s="1" t="s">
        <v>17</v>
      </c>
      <c r="G25" s="1" t="s">
        <v>25</v>
      </c>
    </row>
    <row r="26" spans="1:15" x14ac:dyDescent="0.5">
      <c r="F26" s="1" t="s">
        <v>20</v>
      </c>
      <c r="G26" s="1">
        <v>4</v>
      </c>
    </row>
    <row r="27" spans="1:15" x14ac:dyDescent="0.5">
      <c r="F27" s="1" t="s">
        <v>21</v>
      </c>
      <c r="G27" s="1">
        <v>9</v>
      </c>
    </row>
    <row r="28" spans="1:15" x14ac:dyDescent="0.5">
      <c r="F28" s="1" t="s">
        <v>6</v>
      </c>
      <c r="G28" s="1">
        <v>1</v>
      </c>
    </row>
    <row r="39" spans="1:25" x14ac:dyDescent="0.5">
      <c r="U39" s="1" t="s">
        <v>26</v>
      </c>
      <c r="V39" s="1" t="s">
        <v>3</v>
      </c>
      <c r="W39" s="1" t="s">
        <v>27</v>
      </c>
      <c r="X39" s="1" t="s">
        <v>4</v>
      </c>
      <c r="Y39" s="1" t="s">
        <v>28</v>
      </c>
    </row>
    <row r="40" spans="1:25" x14ac:dyDescent="0.5">
      <c r="U40" s="1" t="s">
        <v>29</v>
      </c>
      <c r="V40" s="1">
        <v>4421</v>
      </c>
      <c r="W40" s="1">
        <v>83</v>
      </c>
      <c r="X40" s="1">
        <v>4</v>
      </c>
      <c r="Y40" s="1">
        <v>4</v>
      </c>
    </row>
    <row r="41" spans="1:25" x14ac:dyDescent="0.5">
      <c r="U41" s="1" t="s">
        <v>30</v>
      </c>
      <c r="V41" s="1">
        <v>899</v>
      </c>
      <c r="W41" s="1">
        <v>13</v>
      </c>
      <c r="X41" s="1">
        <v>3</v>
      </c>
      <c r="Y41" s="1">
        <v>1</v>
      </c>
    </row>
    <row r="48" spans="1:25" x14ac:dyDescent="0.5">
      <c r="A48" s="1" t="s">
        <v>31</v>
      </c>
      <c r="B48" s="1" t="s">
        <v>7</v>
      </c>
      <c r="O48" s="1" t="s">
        <v>32</v>
      </c>
      <c r="P48" s="1" t="s">
        <v>17</v>
      </c>
      <c r="Q48" s="1" t="s">
        <v>3</v>
      </c>
      <c r="R48" s="1" t="s">
        <v>33</v>
      </c>
      <c r="S48" s="1" t="s">
        <v>4</v>
      </c>
    </row>
    <row r="49" spans="1:19" x14ac:dyDescent="0.5">
      <c r="A49" s="1" t="s">
        <v>0</v>
      </c>
      <c r="B49" s="1" t="s">
        <v>11</v>
      </c>
      <c r="C49" s="1" t="s">
        <v>16</v>
      </c>
      <c r="D49" s="1" t="s">
        <v>22</v>
      </c>
      <c r="E49" s="1" t="s">
        <v>23</v>
      </c>
      <c r="O49" s="1" t="s">
        <v>29</v>
      </c>
    </row>
    <row r="50" spans="1:19" x14ac:dyDescent="0.5">
      <c r="A50" s="1" t="s">
        <v>6</v>
      </c>
      <c r="B50" s="1">
        <v>6</v>
      </c>
      <c r="C50" s="1">
        <v>25</v>
      </c>
      <c r="D50" s="1">
        <v>1</v>
      </c>
      <c r="E50" s="1">
        <v>1</v>
      </c>
      <c r="P50" s="1" t="s">
        <v>20</v>
      </c>
      <c r="Q50" s="1">
        <v>879</v>
      </c>
      <c r="R50" s="1">
        <v>18</v>
      </c>
      <c r="S50" s="1">
        <v>2</v>
      </c>
    </row>
    <row r="51" spans="1:19" x14ac:dyDescent="0.5">
      <c r="A51" s="1" t="s">
        <v>10</v>
      </c>
      <c r="B51" s="1">
        <v>9</v>
      </c>
      <c r="C51" s="1">
        <v>31</v>
      </c>
      <c r="D51" s="1">
        <v>6</v>
      </c>
      <c r="E51" s="1">
        <v>4</v>
      </c>
      <c r="P51" s="1" t="s">
        <v>21</v>
      </c>
      <c r="Q51" s="1">
        <v>1647</v>
      </c>
      <c r="R51" s="1">
        <v>36</v>
      </c>
      <c r="S51" s="1">
        <v>2</v>
      </c>
    </row>
    <row r="52" spans="1:19" x14ac:dyDescent="0.5">
      <c r="A52" s="1" t="s">
        <v>13</v>
      </c>
      <c r="B52" s="1">
        <v>4</v>
      </c>
      <c r="C52" s="1">
        <v>6</v>
      </c>
      <c r="D52" s="1">
        <v>1</v>
      </c>
      <c r="E52" s="1">
        <v>2</v>
      </c>
      <c r="P52" s="1" t="s">
        <v>6</v>
      </c>
      <c r="Q52" s="1">
        <v>1422</v>
      </c>
      <c r="R52" s="1">
        <v>22</v>
      </c>
      <c r="S52" s="1">
        <v>3</v>
      </c>
    </row>
    <row r="53" spans="1:19" x14ac:dyDescent="0.5">
      <c r="O53" s="1" t="s">
        <v>30</v>
      </c>
    </row>
    <row r="54" spans="1:19" x14ac:dyDescent="0.5">
      <c r="H54" s="1" t="s">
        <v>34</v>
      </c>
      <c r="I54" s="1" t="s">
        <v>17</v>
      </c>
      <c r="J54" s="1" t="s">
        <v>25</v>
      </c>
      <c r="K54" s="1" t="s">
        <v>3</v>
      </c>
      <c r="L54" s="1" t="s">
        <v>35</v>
      </c>
      <c r="P54" s="1" t="s">
        <v>20</v>
      </c>
      <c r="Q54" s="1">
        <v>333</v>
      </c>
      <c r="R54" s="1">
        <v>4</v>
      </c>
      <c r="S54" s="1">
        <v>0</v>
      </c>
    </row>
    <row r="55" spans="1:19" x14ac:dyDescent="0.5">
      <c r="H55" s="1" t="s">
        <v>36</v>
      </c>
      <c r="P55" s="1" t="s">
        <v>21</v>
      </c>
      <c r="Q55" s="1">
        <v>629</v>
      </c>
      <c r="R55" s="1">
        <v>11</v>
      </c>
      <c r="S55" s="1">
        <v>0</v>
      </c>
    </row>
    <row r="56" spans="1:19" x14ac:dyDescent="0.5">
      <c r="I56" s="1" t="s">
        <v>20</v>
      </c>
      <c r="J56" s="1">
        <v>0</v>
      </c>
      <c r="K56" s="1">
        <v>255</v>
      </c>
      <c r="L56" s="1">
        <v>4</v>
      </c>
      <c r="P56" s="1" t="s">
        <v>6</v>
      </c>
      <c r="Q56" s="1">
        <v>410</v>
      </c>
      <c r="R56" s="1">
        <v>5</v>
      </c>
      <c r="S56" s="1">
        <v>0</v>
      </c>
    </row>
    <row r="57" spans="1:19" x14ac:dyDescent="0.5">
      <c r="I57" s="1" t="s">
        <v>21</v>
      </c>
      <c r="J57" s="1">
        <v>3</v>
      </c>
      <c r="K57" s="1">
        <v>430</v>
      </c>
      <c r="L57" s="1">
        <v>8</v>
      </c>
    </row>
    <row r="58" spans="1:19" x14ac:dyDescent="0.5">
      <c r="I58" s="1" t="s">
        <v>6</v>
      </c>
      <c r="J58" s="1">
        <v>0</v>
      </c>
      <c r="K58" s="1">
        <v>13</v>
      </c>
      <c r="L58" s="1">
        <v>1</v>
      </c>
    </row>
    <row r="59" spans="1:19" x14ac:dyDescent="0.5">
      <c r="H59" s="1" t="s">
        <v>37</v>
      </c>
    </row>
    <row r="60" spans="1:19" x14ac:dyDescent="0.5">
      <c r="I60" s="1" t="s">
        <v>20</v>
      </c>
      <c r="J60" s="1">
        <v>0</v>
      </c>
      <c r="K60" s="1">
        <v>163</v>
      </c>
      <c r="L60" s="1">
        <v>4</v>
      </c>
    </row>
    <row r="61" spans="1:19" x14ac:dyDescent="0.5">
      <c r="I61" s="1" t="s">
        <v>21</v>
      </c>
      <c r="J61" s="1">
        <v>1</v>
      </c>
      <c r="K61" s="1">
        <v>246</v>
      </c>
      <c r="L61" s="1">
        <v>5</v>
      </c>
    </row>
    <row r="62" spans="1:19" x14ac:dyDescent="0.5">
      <c r="I62" s="1" t="s">
        <v>6</v>
      </c>
      <c r="J62" s="1">
        <v>0</v>
      </c>
      <c r="K62" s="1">
        <v>266</v>
      </c>
      <c r="L62" s="1">
        <v>3</v>
      </c>
    </row>
    <row r="63" spans="1:19" x14ac:dyDescent="0.5">
      <c r="H63" s="1" t="s">
        <v>38</v>
      </c>
    </row>
    <row r="64" spans="1:19" x14ac:dyDescent="0.5">
      <c r="I64" s="1" t="s">
        <v>20</v>
      </c>
      <c r="J64" s="1">
        <v>3</v>
      </c>
      <c r="K64" s="1">
        <v>152</v>
      </c>
      <c r="L64" s="1">
        <v>3</v>
      </c>
    </row>
    <row r="65" spans="8:24" x14ac:dyDescent="0.5">
      <c r="I65" s="1" t="s">
        <v>21</v>
      </c>
      <c r="J65" s="1">
        <v>0</v>
      </c>
      <c r="K65" s="1">
        <v>213</v>
      </c>
      <c r="L65" s="1">
        <v>5</v>
      </c>
    </row>
    <row r="66" spans="8:24" x14ac:dyDescent="0.5">
      <c r="I66" s="1" t="s">
        <v>6</v>
      </c>
      <c r="J66" s="1">
        <v>1</v>
      </c>
      <c r="K66" s="1">
        <v>129</v>
      </c>
      <c r="L66" s="1">
        <v>2</v>
      </c>
    </row>
    <row r="67" spans="8:24" x14ac:dyDescent="0.5">
      <c r="H67" s="1" t="s">
        <v>39</v>
      </c>
    </row>
    <row r="68" spans="8:24" x14ac:dyDescent="0.5">
      <c r="I68" s="1" t="s">
        <v>20</v>
      </c>
      <c r="J68" s="1">
        <v>0</v>
      </c>
      <c r="K68" s="1">
        <v>536</v>
      </c>
      <c r="L68" s="1">
        <v>9</v>
      </c>
    </row>
    <row r="69" spans="8:24" x14ac:dyDescent="0.5">
      <c r="I69" s="1" t="s">
        <v>21</v>
      </c>
      <c r="J69" s="1">
        <v>4</v>
      </c>
      <c r="K69" s="1">
        <v>1097</v>
      </c>
      <c r="L69" s="1">
        <v>23</v>
      </c>
      <c r="U69" s="1" t="s">
        <v>40</v>
      </c>
      <c r="V69" s="1" t="s">
        <v>41</v>
      </c>
      <c r="W69" s="1" t="s">
        <v>42</v>
      </c>
      <c r="X69" s="1" t="s">
        <v>43</v>
      </c>
    </row>
    <row r="70" spans="8:24" x14ac:dyDescent="0.5">
      <c r="I70" s="1" t="s">
        <v>6</v>
      </c>
      <c r="J70" s="1">
        <v>0</v>
      </c>
      <c r="K70" s="1">
        <v>809</v>
      </c>
      <c r="L70" s="1">
        <v>13</v>
      </c>
      <c r="U70" s="1" t="s">
        <v>44</v>
      </c>
      <c r="V70" s="1">
        <v>970</v>
      </c>
      <c r="W70" s="1">
        <v>1</v>
      </c>
      <c r="X70" s="1">
        <v>2</v>
      </c>
    </row>
    <row r="71" spans="8:24" x14ac:dyDescent="0.5">
      <c r="H71" s="1" t="s">
        <v>45</v>
      </c>
      <c r="U71" s="1" t="s">
        <v>46</v>
      </c>
      <c r="V71" s="1">
        <v>2297</v>
      </c>
      <c r="W71" s="1">
        <v>4</v>
      </c>
      <c r="X71" s="1">
        <v>1</v>
      </c>
    </row>
    <row r="72" spans="8:24" x14ac:dyDescent="0.5">
      <c r="I72" s="1" t="s">
        <v>20</v>
      </c>
      <c r="J72" s="1">
        <v>1</v>
      </c>
      <c r="K72" s="1">
        <v>106</v>
      </c>
      <c r="L72" s="1">
        <v>2</v>
      </c>
      <c r="U72" s="1" t="s">
        <v>47</v>
      </c>
      <c r="V72" s="1">
        <v>2053</v>
      </c>
      <c r="W72" s="1">
        <v>2</v>
      </c>
      <c r="X72" s="1">
        <v>2</v>
      </c>
    </row>
    <row r="73" spans="8:24" x14ac:dyDescent="0.5">
      <c r="I73" s="1" t="s">
        <v>21</v>
      </c>
      <c r="J73" s="1">
        <v>1</v>
      </c>
      <c r="K73" s="1">
        <v>290</v>
      </c>
      <c r="L73" s="1">
        <v>6</v>
      </c>
      <c r="U73"/>
      <c r="V73"/>
      <c r="W73"/>
      <c r="X73"/>
    </row>
    <row r="74" spans="8:24" x14ac:dyDescent="0.5">
      <c r="I74" s="1" t="s">
        <v>6</v>
      </c>
      <c r="J74" s="1">
        <v>0</v>
      </c>
      <c r="K74" s="1">
        <v>615</v>
      </c>
      <c r="L74" s="1">
        <v>8</v>
      </c>
      <c r="U74"/>
      <c r="V74"/>
      <c r="W74"/>
      <c r="X74"/>
    </row>
    <row r="75" spans="8:24" x14ac:dyDescent="0.5">
      <c r="U75"/>
      <c r="V75"/>
      <c r="W75"/>
      <c r="X75"/>
    </row>
    <row r="76" spans="8:24" x14ac:dyDescent="0.5">
      <c r="U76"/>
      <c r="V76"/>
      <c r="W76"/>
      <c r="X76"/>
    </row>
    <row r="77" spans="8:24" x14ac:dyDescent="0.5">
      <c r="U77"/>
      <c r="V77"/>
      <c r="W77"/>
      <c r="X77"/>
    </row>
    <row r="78" spans="8:24" x14ac:dyDescent="0.5">
      <c r="U78"/>
      <c r="V78"/>
      <c r="W78"/>
      <c r="X78"/>
    </row>
    <row r="79" spans="8:24" x14ac:dyDescent="0.5">
      <c r="U79"/>
      <c r="V79"/>
      <c r="W79"/>
      <c r="X79"/>
    </row>
    <row r="80" spans="8:24" x14ac:dyDescent="0.5">
      <c r="U80"/>
      <c r="V80"/>
      <c r="W80"/>
      <c r="X80"/>
    </row>
    <row r="81" spans="20:24" x14ac:dyDescent="0.5">
      <c r="U81"/>
      <c r="V81"/>
      <c r="W81"/>
      <c r="X81"/>
    </row>
    <row r="82" spans="20:24" x14ac:dyDescent="0.5">
      <c r="U82"/>
      <c r="V82"/>
      <c r="W82"/>
      <c r="X82"/>
    </row>
    <row r="83" spans="20:24" x14ac:dyDescent="0.5">
      <c r="U83"/>
      <c r="V83"/>
      <c r="W83"/>
      <c r="X83"/>
    </row>
    <row r="84" spans="20:24" x14ac:dyDescent="0.5">
      <c r="U84"/>
      <c r="V84"/>
      <c r="W84"/>
      <c r="X84"/>
    </row>
    <row r="85" spans="20:24" x14ac:dyDescent="0.5">
      <c r="U85"/>
      <c r="V85"/>
      <c r="W85"/>
      <c r="X85"/>
    </row>
    <row r="86" spans="20:24" x14ac:dyDescent="0.5">
      <c r="U86"/>
      <c r="V86"/>
      <c r="W86"/>
      <c r="X86"/>
    </row>
    <row r="87" spans="20:24" x14ac:dyDescent="0.5">
      <c r="T87"/>
      <c r="U87"/>
      <c r="V87"/>
      <c r="W87"/>
      <c r="X87"/>
    </row>
    <row r="88" spans="20:24" x14ac:dyDescent="0.5">
      <c r="T88"/>
      <c r="U88"/>
      <c r="V88"/>
      <c r="W88"/>
      <c r="X88"/>
    </row>
    <row r="89" spans="20:24" x14ac:dyDescent="0.5">
      <c r="T89"/>
      <c r="U89"/>
      <c r="V89"/>
      <c r="W89"/>
      <c r="X89"/>
    </row>
  </sheetData>
  <sheetProtection algorithmName="SHA-512" hashValue="VqwPG9kHX+1C8xVlH0g3iusjEEErIrRZJ5qWVnFnBYZpAtxIcxor33OgSgeukRMRfUpW03XlNNdC6BzBVc2kzg==" saltValue="HVlijiw1IPNwHmsZaXKSAw==" spinCount="100000" sheet="1" objects="1" scenarios="1"/>
  <pageMargins left="0.7" right="0.7" top="0.75" bottom="0.75" header="0.3" footer="0.3"/>
  <pageSetup paperSize="9"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Chopra</dc:creator>
  <cp:lastModifiedBy>Sameer Chopra</cp:lastModifiedBy>
  <dcterms:created xsi:type="dcterms:W3CDTF">2026-05-01T07:10:57Z</dcterms:created>
  <dcterms:modified xsi:type="dcterms:W3CDTF">2026-05-01T07:17:37Z</dcterms:modified>
</cp:coreProperties>
</file>